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28C2B808-A2D2-46A0-862D-2A4D216FF6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G8" i="1" l="1"/>
  <c r="P8" i="1"/>
  <c r="G7" i="1"/>
  <c r="P7" i="1"/>
  <c r="G6" i="1"/>
  <c r="P6" i="1"/>
  <c r="G5" i="1"/>
  <c r="P5" i="1"/>
  <c r="P15" i="1" l="1"/>
  <c r="P16" i="1"/>
  <c r="P17" i="1"/>
  <c r="P26" i="1" s="1"/>
  <c r="P18" i="1"/>
  <c r="P19" i="1"/>
  <c r="P14" i="1"/>
  <c r="O5" i="1"/>
  <c r="N5" i="1"/>
  <c r="O6" i="1"/>
  <c r="N6" i="1"/>
  <c r="O7" i="1"/>
  <c r="N7" i="1"/>
  <c r="O8" i="1"/>
  <c r="N8" i="1"/>
  <c r="N19" i="1" l="1"/>
  <c r="N18" i="1"/>
  <c r="N17" i="1"/>
  <c r="N24" i="1" s="1"/>
  <c r="N26" i="1" s="1"/>
  <c r="N28" i="1" s="1"/>
  <c r="N16" i="1"/>
  <c r="N15" i="1"/>
  <c r="N14" i="1"/>
  <c r="O15" i="1"/>
  <c r="O16" i="1"/>
  <c r="O17" i="1"/>
  <c r="O24" i="1" s="1"/>
  <c r="O26" i="1" s="1"/>
  <c r="O28" i="1" s="1"/>
  <c r="O18" i="1"/>
  <c r="O19" i="1"/>
  <c r="O14" i="1"/>
  <c r="P28" i="1"/>
  <c r="P24" i="1"/>
</calcChain>
</file>

<file path=xl/sharedStrings.xml><?xml version="1.0" encoding="utf-8"?>
<sst xmlns="http://schemas.openxmlformats.org/spreadsheetml/2006/main" count="32" uniqueCount="31">
  <si>
    <t>ALL THE VALUES ARE IN MILLION EXCPET SHARE PRICE AND SHARES OUTSTANDING AND RATIOS</t>
  </si>
  <si>
    <t xml:space="preserve">MARKET DATA </t>
  </si>
  <si>
    <t>FINANCIALS</t>
  </si>
  <si>
    <t>VALUATION</t>
  </si>
  <si>
    <t>COMPANY</t>
  </si>
  <si>
    <t>Share Price</t>
  </si>
  <si>
    <t>Share outstanding</t>
  </si>
  <si>
    <t>Equity Value</t>
  </si>
  <si>
    <t>NET DEBT</t>
  </si>
  <si>
    <t>ENTERPRISE VALUE</t>
  </si>
  <si>
    <t>REVENUE</t>
  </si>
  <si>
    <t>EBITDA</t>
  </si>
  <si>
    <t>NETINCOME</t>
  </si>
  <si>
    <t>EV/REVENUE</t>
  </si>
  <si>
    <t>EV/EBITDA</t>
  </si>
  <si>
    <t>P/E</t>
  </si>
  <si>
    <t>LUPIN</t>
  </si>
  <si>
    <t>CIPLA</t>
  </si>
  <si>
    <t>SUN PHARMA</t>
  </si>
  <si>
    <t>Dr Reddy's Laboratory</t>
  </si>
  <si>
    <t>HIGH</t>
  </si>
  <si>
    <t>75TH PERCENTILE</t>
  </si>
  <si>
    <t>AVERAGE</t>
  </si>
  <si>
    <t>MEDIAN</t>
  </si>
  <si>
    <t>25TH PERCENTILE</t>
  </si>
  <si>
    <t>LOW</t>
  </si>
  <si>
    <t>LUPIN VALUATION</t>
  </si>
  <si>
    <t>IMPLIED ENTERPRISE VALUE</t>
  </si>
  <si>
    <t>IMPLIED MARKET VALUE</t>
  </si>
  <si>
    <t>SHARES OUTSTANDING</t>
  </si>
  <si>
    <t>IMPLIED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</si>
</sst>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3" fontId="2" fillId="2" borderId="0" xfId="0" applyNumberFormat="1" applyFont="1" applyFill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4" fontId="2" fillId="2" borderId="0" xfId="0" applyNumberFormat="1" applyFont="1" applyFill="1"/>
    <xf numFmtId="4" fontId="0" fillId="0" borderId="0" xfId="0" applyNumberFormat="1"/>
    <xf numFmtId="0" fontId="6" fillId="0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3" fontId="6" fillId="0" borderId="0" xfId="0" applyNumberFormat="1" applyFont="1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I26" sqref="I26"/>
    </sheetView>
  </sheetViews>
  <sheetFormatPr defaultRowHeight="15"/>
  <cols>
    <col min="1" max="1" width="24.28515625" customWidth="1"/>
    <col min="3" max="3" width="10.7109375" customWidth="1"/>
    <col min="4" max="4" width="18.42578125" customWidth="1"/>
    <col min="5" max="5" width="13.140625" customWidth="1"/>
    <col min="6" max="6" width="11.140625" customWidth="1"/>
    <col min="7" max="7" width="19.28515625" customWidth="1"/>
    <col min="8" max="8" width="10.5703125" customWidth="1"/>
    <col min="10" max="10" width="10.85546875" bestFit="1" customWidth="1"/>
    <col min="11" max="11" width="10.7109375" customWidth="1"/>
    <col min="12" max="12" width="13" customWidth="1"/>
    <col min="14" max="14" width="12.28515625" customWidth="1"/>
    <col min="15" max="15" width="11.140625" customWidth="1"/>
    <col min="16" max="16" width="13" customWidth="1"/>
  </cols>
  <sheetData>
    <row r="1" spans="1:16" ht="21"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6"/>
    </row>
    <row r="2" spans="1:16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6">
      <c r="C3" s="17" t="s">
        <v>1</v>
      </c>
      <c r="D3" s="17"/>
      <c r="E3" s="17"/>
      <c r="F3" s="17"/>
      <c r="J3" s="17" t="s">
        <v>2</v>
      </c>
      <c r="K3" s="17"/>
      <c r="L3" s="17"/>
      <c r="N3" s="17" t="s">
        <v>3</v>
      </c>
      <c r="O3" s="17"/>
      <c r="P3" s="17"/>
    </row>
    <row r="4" spans="1:16" ht="15.75">
      <c r="A4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/>
      <c r="I4" s="1"/>
      <c r="J4" s="1" t="s">
        <v>10</v>
      </c>
      <c r="K4" s="1" t="s">
        <v>11</v>
      </c>
      <c r="L4" s="1" t="s">
        <v>12</v>
      </c>
      <c r="M4" s="1"/>
      <c r="N4" s="1" t="s">
        <v>13</v>
      </c>
      <c r="O4" s="1" t="s">
        <v>14</v>
      </c>
      <c r="P4" s="1" t="s">
        <v>15</v>
      </c>
    </row>
    <row r="5" spans="1:16" s="2" customFormat="1">
      <c r="A5" s="2" t="s">
        <v>16</v>
      </c>
      <c r="C5" s="3">
        <v>2108</v>
      </c>
      <c r="D5" s="3">
        <v>456565045</v>
      </c>
      <c r="E5" s="2">
        <f>(C5*D5)/1000000</f>
        <v>962439.11485999997</v>
      </c>
      <c r="F5" s="3">
        <v>39040.800000000003</v>
      </c>
      <c r="G5" s="3">
        <f>E5+F5</f>
        <v>1001479.91486</v>
      </c>
      <c r="J5" s="3">
        <v>227079</v>
      </c>
      <c r="K5" s="9">
        <v>54791.3</v>
      </c>
      <c r="L5" s="9">
        <v>33062.6</v>
      </c>
      <c r="N5" s="2">
        <f>G5/J5</f>
        <v>4.4102709403335405</v>
      </c>
      <c r="O5" s="2">
        <f>G5/K5</f>
        <v>18.278082740508072</v>
      </c>
      <c r="P5" s="2">
        <f>E5/L5</f>
        <v>29.109601630240817</v>
      </c>
    </row>
    <row r="6" spans="1:16">
      <c r="A6" t="s">
        <v>17</v>
      </c>
      <c r="C6" s="4">
        <v>1510</v>
      </c>
      <c r="D6" s="4">
        <v>807617120</v>
      </c>
      <c r="E6">
        <f t="shared" ref="E6:E8" si="0">(C6*D6)/1000000</f>
        <v>1219501.8511999999</v>
      </c>
      <c r="F6" s="4">
        <v>-1044.5999999999999</v>
      </c>
      <c r="G6" s="4">
        <f t="shared" ref="G6:G8" si="1">E6+F6</f>
        <v>1218457.2511999998</v>
      </c>
      <c r="J6" s="10">
        <v>275476.2</v>
      </c>
      <c r="K6" s="10">
        <v>74497.7</v>
      </c>
      <c r="L6" s="10">
        <v>52910.5</v>
      </c>
      <c r="N6" s="11">
        <f t="shared" ref="N6:N8" si="2">G6/J6</f>
        <v>4.4230944495386524</v>
      </c>
      <c r="O6" s="11">
        <f t="shared" ref="O6:O8" si="3">G6/K6</f>
        <v>16.355635827683269</v>
      </c>
      <c r="P6" s="11">
        <f t="shared" ref="P6:P8" si="4">E6/L6</f>
        <v>23.048390228782566</v>
      </c>
    </row>
    <row r="7" spans="1:16">
      <c r="A7" t="s">
        <v>18</v>
      </c>
      <c r="C7" s="4">
        <v>1729</v>
      </c>
      <c r="D7" s="4">
        <v>2399334970</v>
      </c>
      <c r="E7">
        <f t="shared" si="0"/>
        <v>4148450.1631299998</v>
      </c>
      <c r="F7" s="10">
        <v>-79065.8</v>
      </c>
      <c r="G7" s="4">
        <f t="shared" si="1"/>
        <v>4069384.36313</v>
      </c>
      <c r="J7" s="10">
        <v>525784.4</v>
      </c>
      <c r="K7" s="10">
        <v>172367.3</v>
      </c>
      <c r="L7" s="4">
        <v>109801</v>
      </c>
      <c r="N7" s="11">
        <f t="shared" si="2"/>
        <v>7.739644544665075</v>
      </c>
      <c r="O7" s="11">
        <f t="shared" si="3"/>
        <v>23.608795653990057</v>
      </c>
      <c r="P7" s="11">
        <f t="shared" si="4"/>
        <v>37.781533530022493</v>
      </c>
    </row>
    <row r="8" spans="1:16">
      <c r="A8" t="s">
        <v>19</v>
      </c>
      <c r="C8">
        <v>1257.5999999999999</v>
      </c>
      <c r="D8" s="4">
        <v>834455365</v>
      </c>
      <c r="E8">
        <f t="shared" si="0"/>
        <v>1049411.067024</v>
      </c>
      <c r="F8" s="4">
        <v>32173</v>
      </c>
      <c r="G8" s="4">
        <f t="shared" si="1"/>
        <v>1081584.067024</v>
      </c>
      <c r="J8" s="4">
        <v>326439</v>
      </c>
      <c r="K8" s="4">
        <v>96661</v>
      </c>
      <c r="L8" s="4">
        <v>57252</v>
      </c>
      <c r="N8" s="11">
        <f t="shared" si="2"/>
        <v>3.3132807876019714</v>
      </c>
      <c r="O8" s="11">
        <f t="shared" si="3"/>
        <v>11.189456627016066</v>
      </c>
      <c r="P8" s="11">
        <f t="shared" si="4"/>
        <v>18.329683976524837</v>
      </c>
    </row>
    <row r="14" spans="1:16">
      <c r="A14" s="5" t="s">
        <v>20</v>
      </c>
      <c r="N14">
        <f>MAX(N5:N8)</f>
        <v>7.739644544665075</v>
      </c>
      <c r="O14">
        <f t="shared" ref="O14:P14" si="5">MAX(O5:O8)</f>
        <v>23.608795653990057</v>
      </c>
      <c r="P14">
        <f t="shared" si="5"/>
        <v>37.781533530022493</v>
      </c>
    </row>
    <row r="15" spans="1:16">
      <c r="A15" s="5" t="s">
        <v>21</v>
      </c>
      <c r="N15">
        <f>PERCENTILE(N5:N8,0.75)</f>
        <v>5.2522319733202583</v>
      </c>
      <c r="O15">
        <f>PERCENTILE(O5:O8,0.75)</f>
        <v>19.610760968878569</v>
      </c>
      <c r="P15">
        <f t="shared" ref="O15:P15" si="6">PERCENTILE(P5:P8,0.75)</f>
        <v>31.277584605186235</v>
      </c>
    </row>
    <row r="16" spans="1:16">
      <c r="A16" s="5" t="s">
        <v>22</v>
      </c>
      <c r="N16">
        <f>AVERAGE(N5:N8)</f>
        <v>4.9715726805348099</v>
      </c>
      <c r="O16">
        <f t="shared" ref="O16:P16" si="7">AVERAGE(O5:O8)</f>
        <v>17.357992712299367</v>
      </c>
      <c r="P16">
        <f t="shared" si="7"/>
        <v>27.067302341392679</v>
      </c>
    </row>
    <row r="17" spans="1:16" s="14" customFormat="1">
      <c r="A17" s="13" t="s">
        <v>23</v>
      </c>
      <c r="N17" s="14">
        <f>MEDIAN(N5:N8)</f>
        <v>4.416682694936096</v>
      </c>
      <c r="O17" s="14">
        <f t="shared" ref="O17:P17" si="8">MEDIAN(O5:O8)</f>
        <v>17.316859284095671</v>
      </c>
      <c r="P17" s="14">
        <f t="shared" si="8"/>
        <v>26.078995929511692</v>
      </c>
    </row>
    <row r="18" spans="1:16">
      <c r="A18" s="5" t="s">
        <v>24</v>
      </c>
      <c r="N18">
        <f>PERCENTILE(N5:N8,0.25)</f>
        <v>4.1360234021506486</v>
      </c>
      <c r="O18">
        <f t="shared" ref="O18:P18" si="9">PERCENTILE(O5:O8,0.25)</f>
        <v>15.064091027516469</v>
      </c>
      <c r="P18">
        <f t="shared" si="9"/>
        <v>21.868713665718133</v>
      </c>
    </row>
    <row r="19" spans="1:16">
      <c r="A19" s="5" t="s">
        <v>25</v>
      </c>
      <c r="N19">
        <f>MIN(N5:N8)</f>
        <v>3.3132807876019714</v>
      </c>
      <c r="O19">
        <f t="shared" ref="O19:P19" si="10">MIN(O5:O8)</f>
        <v>11.189456627016066</v>
      </c>
      <c r="P19">
        <f t="shared" si="10"/>
        <v>18.329683976524837</v>
      </c>
    </row>
    <row r="23" spans="1:16" s="12" customFormat="1">
      <c r="A23" s="12" t="s">
        <v>26</v>
      </c>
    </row>
    <row r="24" spans="1:16">
      <c r="A24" s="6" t="s">
        <v>27</v>
      </c>
      <c r="N24">
        <f>N17*J5</f>
        <v>1002935.8896833938</v>
      </c>
      <c r="O24">
        <f>O17*K5</f>
        <v>948813.23209267121</v>
      </c>
      <c r="P24" s="4">
        <f>P26+P25</f>
        <v>901280.21081907325</v>
      </c>
    </row>
    <row r="25" spans="1:16">
      <c r="A25" s="7" t="s">
        <v>8</v>
      </c>
      <c r="N25" s="15">
        <v>39040.800000000003</v>
      </c>
      <c r="O25" s="15">
        <v>39040.800000000003</v>
      </c>
      <c r="P25" s="15">
        <v>39040.800000000003</v>
      </c>
    </row>
    <row r="26" spans="1:16">
      <c r="A26" s="6" t="s">
        <v>28</v>
      </c>
      <c r="N26" s="4">
        <f>N24-N25</f>
        <v>963895.08968339371</v>
      </c>
      <c r="O26" s="4">
        <f>O24-O25</f>
        <v>909772.43209267117</v>
      </c>
      <c r="P26">
        <f>P17*L5</f>
        <v>862239.41081907321</v>
      </c>
    </row>
    <row r="27" spans="1:16">
      <c r="A27" t="s">
        <v>29</v>
      </c>
      <c r="N27" s="15">
        <v>456565045</v>
      </c>
      <c r="O27" s="15">
        <v>456565045</v>
      </c>
      <c r="P27" s="15">
        <v>456565045</v>
      </c>
    </row>
    <row r="28" spans="1:16">
      <c r="A28" s="8" t="s">
        <v>30</v>
      </c>
      <c r="N28">
        <f>(N26*1000000)/N27</f>
        <v>2111.1889756768255</v>
      </c>
      <c r="O28">
        <f t="shared" ref="O28:P28" si="11">(O26*1000000)/O27</f>
        <v>1992.6458279184976</v>
      </c>
      <c r="P28">
        <f t="shared" si="11"/>
        <v>1888.5357524886147</v>
      </c>
    </row>
  </sheetData>
  <mergeCells count="4">
    <mergeCell ref="C3:F3"/>
    <mergeCell ref="J3:L3"/>
    <mergeCell ref="N3:P3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2026-01-04T04:27:22Z</dcterms:created>
  <dcterms:modified xsi:type="dcterms:W3CDTF">2026-01-04T05:43:35Z</dcterms:modified>
  <cp:category/>
  <cp:contentStatus/>
</cp:coreProperties>
</file>