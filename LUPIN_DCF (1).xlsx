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dh\AppData\Local\Packages\5319275A.WhatsAppDesktop_cv1g1gvanyjgm\LocalState\sessions\A8371D9DEF4203FA8776F28E5B7848902DDDCF36\transfers\2026-01\"/>
    </mc:Choice>
  </mc:AlternateContent>
  <xr:revisionPtr revIDLastSave="0" documentId="13_ncr:1_{E9FD9E81-6BF4-4BB5-83AA-7C8EB7255D4C}" xr6:coauthVersionLast="47" xr6:coauthVersionMax="47" xr10:uidLastSave="{00000000-0000-0000-0000-000000000000}"/>
  <bookViews>
    <workbookView xWindow="-120" yWindow="-120" windowWidth="20730" windowHeight="11040" firstSheet="3" activeTab="3" xr2:uid="{00000000-000D-0000-FFFF-FFFF00000000}"/>
  </bookViews>
  <sheets>
    <sheet name="Sheet2" sheetId="10" r:id="rId1"/>
    <sheet name="Sheet1" sheetId="7" r:id="rId2"/>
    <sheet name="WACC" sheetId="8" r:id="rId3"/>
    <sheet name="DCF" sheetId="9" r:id="rId4"/>
    <sheet name="Data Sheet" sheetId="6" r:id="rId5"/>
    <sheet name="Profit &amp; Loss" sheetId="1" r:id="rId6"/>
    <sheet name="Quarters" sheetId="3" r:id="rId7"/>
    <sheet name="Balance Sheet" sheetId="2" r:id="rId8"/>
    <sheet name="Cash Flow" sheetId="4" r:id="rId9"/>
    <sheet name="Customization" sheetId="5" r:id="rId10"/>
  </sheet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2" i="7" l="1"/>
  <c r="D12" i="7"/>
  <c r="E12" i="7"/>
  <c r="F12" i="7"/>
  <c r="G12" i="7"/>
  <c r="H12" i="7"/>
  <c r="F9" i="10" l="1"/>
  <c r="G9" i="10" s="1"/>
  <c r="H9" i="10" s="1"/>
  <c r="I9" i="10" s="1"/>
  <c r="E9" i="10"/>
  <c r="C13" i="8"/>
  <c r="C14" i="8"/>
  <c r="B10" i="10"/>
  <c r="L6" i="10"/>
  <c r="D9" i="10" s="1"/>
  <c r="E19" i="9"/>
  <c r="E18" i="9"/>
  <c r="C5" i="8"/>
  <c r="C11" i="8"/>
  <c r="K7" i="7"/>
  <c r="G37" i="6"/>
  <c r="F20" i="7"/>
  <c r="G20" i="7" s="1"/>
  <c r="H20" i="7" s="1"/>
  <c r="D20" i="7"/>
  <c r="E20" i="7"/>
  <c r="C20" i="7"/>
  <c r="D100" i="6"/>
  <c r="E100" i="6"/>
  <c r="F100" i="6"/>
  <c r="G100" i="6"/>
  <c r="H100" i="6"/>
  <c r="I100" i="6"/>
  <c r="J100" i="6"/>
  <c r="K100" i="6"/>
  <c r="C100" i="6"/>
  <c r="C50" i="6"/>
  <c r="D50" i="6"/>
  <c r="E50" i="6"/>
  <c r="F50" i="6"/>
  <c r="G50" i="6"/>
  <c r="H50" i="6"/>
  <c r="I50" i="6"/>
  <c r="J50" i="6"/>
  <c r="K50" i="6"/>
  <c r="B50" i="6"/>
  <c r="G40" i="6"/>
  <c r="C20" i="6"/>
  <c r="D20" i="6"/>
  <c r="E20" i="6"/>
  <c r="F20" i="6"/>
  <c r="G20" i="6"/>
  <c r="H20" i="6"/>
  <c r="I20" i="6"/>
  <c r="J20" i="6"/>
  <c r="K20" i="6"/>
  <c r="B20" i="6"/>
  <c r="D30" i="6"/>
  <c r="E30" i="6"/>
  <c r="F30" i="6"/>
  <c r="G30" i="6"/>
  <c r="H30" i="6"/>
  <c r="I30" i="6"/>
  <c r="J30" i="6"/>
  <c r="K30" i="6"/>
  <c r="C30" i="6"/>
  <c r="C33" i="6"/>
  <c r="D33" i="6"/>
  <c r="E33" i="6"/>
  <c r="F33" i="6"/>
  <c r="G33" i="6"/>
  <c r="H33" i="6"/>
  <c r="I33" i="6"/>
  <c r="J33" i="6"/>
  <c r="K33" i="6"/>
  <c r="B33" i="6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15" i="8" l="1"/>
  <c r="D2" i="9" s="1"/>
  <c r="E14" i="9" s="1"/>
  <c r="D10" i="10"/>
  <c r="E10" i="10" s="1"/>
  <c r="F10" i="10" s="1"/>
  <c r="G10" i="10" s="1"/>
  <c r="H10" i="10" s="1"/>
  <c r="I10" i="10" s="1"/>
  <c r="D8" i="10"/>
  <c r="F57" i="6"/>
  <c r="G102" i="6"/>
  <c r="K11" i="7" s="1"/>
  <c r="D19" i="7"/>
  <c r="G38" i="6"/>
  <c r="G39" i="6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D11" i="10" l="1"/>
  <c r="E8" i="10"/>
  <c r="D18" i="7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F8" i="10" l="1"/>
  <c r="E11" i="10"/>
  <c r="D21" i="7"/>
  <c r="D22" i="7" s="1"/>
  <c r="D24" i="7" s="1"/>
  <c r="E6" i="9" s="1"/>
  <c r="E8" i="9" s="1"/>
  <c r="N15" i="1"/>
  <c r="M5" i="1"/>
  <c r="G8" i="10" l="1"/>
  <c r="F11" i="10"/>
  <c r="E19" i="7"/>
  <c r="E18" i="7"/>
  <c r="G11" i="10" l="1"/>
  <c r="H8" i="10"/>
  <c r="E21" i="7"/>
  <c r="E22" i="7" s="1"/>
  <c r="E24" i="7" s="1"/>
  <c r="F6" i="9" s="1"/>
  <c r="F8" i="9" s="1"/>
  <c r="H11" i="10" l="1"/>
  <c r="I8" i="10"/>
  <c r="I11" i="10" s="1"/>
  <c r="F19" i="7"/>
  <c r="F18" i="7"/>
  <c r="F21" i="7" l="1"/>
  <c r="F22" i="7" s="1"/>
  <c r="F24" i="7" s="1"/>
  <c r="G6" i="9" s="1"/>
  <c r="G8" i="9" s="1"/>
  <c r="G18" i="7" l="1"/>
  <c r="G19" i="7"/>
  <c r="G21" i="7" l="1"/>
  <c r="G22" i="7" s="1"/>
  <c r="G24" i="7" s="1"/>
  <c r="H6" i="9" s="1"/>
  <c r="H8" i="9" s="1"/>
  <c r="H19" i="7" l="1"/>
  <c r="H18" i="7"/>
  <c r="H21" i="7" l="1"/>
  <c r="H22" i="7" s="1"/>
  <c r="H24" i="7" s="1"/>
  <c r="I6" i="9" s="1"/>
  <c r="E15" i="9" l="1"/>
  <c r="E16" i="9" s="1"/>
  <c r="I8" i="9"/>
  <c r="E12" i="9" s="1"/>
  <c r="E17" i="9" l="1"/>
  <c r="E20" i="9" s="1"/>
  <c r="E22" i="9" s="1"/>
</calcChain>
</file>

<file path=xl/sharedStrings.xml><?xml version="1.0" encoding="utf-8"?>
<sst xmlns="http://schemas.openxmlformats.org/spreadsheetml/2006/main" count="228" uniqueCount="169">
  <si>
    <t>Assumptions</t>
  </si>
  <si>
    <t>Sales</t>
  </si>
  <si>
    <t>EBIT</t>
  </si>
  <si>
    <t>Tax Rate %</t>
  </si>
  <si>
    <t>D&amp;A</t>
  </si>
  <si>
    <t>5% of sales</t>
  </si>
  <si>
    <t>CapEx</t>
  </si>
  <si>
    <t xml:space="preserve">Non-cash Working Capital </t>
  </si>
  <si>
    <t xml:space="preserve">Average Assest Turnover </t>
  </si>
  <si>
    <t>Average Interest Growth Rate</t>
  </si>
  <si>
    <t>EBITDA Margins  (Conservative)</t>
  </si>
  <si>
    <t xml:space="preserve"> Expected EBITDA margins mentioned in con calls</t>
  </si>
  <si>
    <t>EBITDA Margins (Base)</t>
  </si>
  <si>
    <t>EBITDA Margins (Growth)</t>
  </si>
  <si>
    <t>EBITDA</t>
  </si>
  <si>
    <t>Working Capital Changes</t>
  </si>
  <si>
    <t xml:space="preserve">Interest </t>
  </si>
  <si>
    <t>Profit Before Tax</t>
  </si>
  <si>
    <t>Tax</t>
  </si>
  <si>
    <t>Free Cash Flow</t>
  </si>
  <si>
    <t>WACC Calculation</t>
  </si>
  <si>
    <t>Equity value</t>
  </si>
  <si>
    <t>Debt value</t>
  </si>
  <si>
    <t>Cost of Debt</t>
  </si>
  <si>
    <t>Tax rate</t>
  </si>
  <si>
    <t>Risk Free Rate</t>
  </si>
  <si>
    <t>Beta</t>
  </si>
  <si>
    <t>Market Return</t>
  </si>
  <si>
    <t>Cost of Equity</t>
  </si>
  <si>
    <t>E / D +E</t>
  </si>
  <si>
    <t>D / D+E</t>
  </si>
  <si>
    <t>WACC</t>
  </si>
  <si>
    <t>Unlevered Free Cash Flow</t>
  </si>
  <si>
    <t>Fiscal year</t>
  </si>
  <si>
    <t>2025-26</t>
  </si>
  <si>
    <t>2026-27</t>
  </si>
  <si>
    <t>2027-28</t>
  </si>
  <si>
    <t>2028-29</t>
  </si>
  <si>
    <t>2029-30</t>
  </si>
  <si>
    <t>Projection Year</t>
  </si>
  <si>
    <t>PV of FCF</t>
  </si>
  <si>
    <t>Implied Share Price Calculation</t>
  </si>
  <si>
    <t>Sum of PV of Free Cash Flow</t>
  </si>
  <si>
    <t>Growth</t>
  </si>
  <si>
    <t>Terminal Value</t>
  </si>
  <si>
    <t>PV of Terminal Value</t>
  </si>
  <si>
    <t>Enterprise Value</t>
  </si>
  <si>
    <t>(+) Cash</t>
  </si>
  <si>
    <t>(-) Debt</t>
  </si>
  <si>
    <t>Equity Value</t>
  </si>
  <si>
    <t>Diluted Shares Outstanding</t>
  </si>
  <si>
    <t xml:space="preserve">Implied Share Price </t>
  </si>
  <si>
    <t>COMPANY NAME</t>
  </si>
  <si>
    <t>LUPIN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</si>
  <si>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</si>
  <si>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</si>
  <si>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</si>
  <si>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</si>
  <si>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</si>
  <si>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</si>
  <si>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</si>
  <si>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</si>
  <si>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</si>
  <si>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</si>
  <si>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</si>
  <si>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</si>
  <si>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%change wrt sales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</si>
  <si>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</si>
  <si>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</si>
  <si>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</si>
  <si>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</si>
  <si>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</si>
  <si>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</si>
  <si>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</si>
  <si>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</si>
  <si>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Interest Growth</t>
  </si>
  <si>
    <t>Profit before tax</t>
  </si>
  <si>
    <t>Tax percent</t>
  </si>
  <si>
    <t>Net profit</t>
  </si>
  <si>
    <t>Dividend Amount</t>
  </si>
  <si>
    <t>Avg Tax rate</t>
  </si>
  <si>
    <t>Avg Interest Growth</t>
  </si>
  <si>
    <t>Avg Change in Working Capital wrt Sale</t>
  </si>
  <si>
    <t>Quarters</t>
  </si>
  <si>
    <t>Expenses</t>
  </si>
  <si>
    <t>D&amp;A as a % of sales</t>
  </si>
  <si>
    <t>Operating Profit</t>
  </si>
  <si>
    <t>Avg D&amp;A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</si>
  <si>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</si>
  <si>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</si>
  <si>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</si>
  <si>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</si>
  <si>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</si>
  <si>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</si>
  <si>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</si>
  <si>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</si>
  <si>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</si>
  <si>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</si>
  <si>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</si>
  <si>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</si>
  <si>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</si>
  <si>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</si>
  <si>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</si>
  <si>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</si>
  <si>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</si>
  <si>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</si>
  <si>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</si>
  <si>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</si>
  <si>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</si>
  <si>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</si>
  <si>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</si>
  <si>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</si>
  <si>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Asset Turnover Ratio</t>
  </si>
  <si>
    <t>Avg Asset Turnover Ratio</t>
  </si>
  <si>
    <t>SCREENER.IN</t>
  </si>
  <si>
    <t>Narration</t>
  </si>
  <si>
    <t>Trailing</t>
  </si>
  <si>
    <t>Best Case</t>
  </si>
  <si>
    <t>Worst Case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</si>
  <si>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</si>
  <si>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</si>
  <si>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</si>
  <si>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</si>
  <si>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</si>
  <si>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</si>
  <si>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</si>
  <si>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</si>
  <si>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</si>
  <si>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</si>
  <si>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</si>
  <si>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</si>
  <si>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</si>
  <si>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</si>
  <si>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</si>
  <si>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</si>
  <si>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Working Capital</t>
  </si>
  <si>
    <t>Debtors</t>
  </si>
  <si>
    <t>Debtor Days</t>
  </si>
  <si>
    <t>Inventory Turnover</t>
  </si>
  <si>
    <t>Return on Equity</t>
  </si>
  <si>
    <t>Return on Capital Emp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</si>
  <si>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</si>
  <si>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</si>
  <si>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</si>
  <si>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</si>
  <si>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</si>
  <si>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</si>
  <si>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</si>
  <si>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</si>
  <si>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</si>
  <si>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</si>
  <si>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</si>
  <si>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</si>
  <si>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INDIA</t>
  </si>
  <si>
    <t xml:space="preserve"> Other Markets</t>
  </si>
  <si>
    <t>USA and UK</t>
  </si>
  <si>
    <t>Concall Guidance</t>
  </si>
  <si>
    <t>1*2 Times The IPM</t>
  </si>
  <si>
    <t>Higher growth in the initial year due to new products followed by sustainabiliy</t>
  </si>
  <si>
    <t>Sustained groth in brazil and SA for the next years</t>
  </si>
  <si>
    <t>Net Sales</t>
  </si>
  <si>
    <t>Sales on 2025</t>
  </si>
  <si>
    <t>ASSUMPTIONS</t>
  </si>
  <si>
    <t>Growth Rates</t>
  </si>
  <si>
    <t>% as of 2025</t>
  </si>
  <si>
    <t>Geography</t>
  </si>
  <si>
    <t>14% (26-28) High growth</t>
  </si>
  <si>
    <t>10%(29-30) Lower growth</t>
  </si>
  <si>
    <t>SOTP  based on 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</si>
</sst>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Arial"/>
      <family val="2"/>
    </font>
    <font>
      <sz val="12"/>
      <color rgb="FF0432FF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5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0" fillId="0" borderId="0" xfId="1" applyFont="1" applyBorder="1" applyAlignment="1">
      <alignment wrapText="1"/>
    </xf>
    <xf numFmtId="43" fontId="10" fillId="0" borderId="0" xfId="1" applyFont="1" applyBorder="1"/>
    <xf numFmtId="43" fontId="0" fillId="0" borderId="0" xfId="1" applyFont="1" applyBorder="1" applyAlignment="1">
      <alignment horizontal="left" wrapText="1"/>
    </xf>
    <xf numFmtId="0" fontId="11" fillId="0" borderId="1" xfId="0" applyFont="1" applyBorder="1"/>
    <xf numFmtId="0" fontId="11" fillId="0" borderId="0" xfId="0" applyFont="1"/>
    <xf numFmtId="43" fontId="10" fillId="0" borderId="0" xfId="1" applyFont="1" applyBorder="1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/>
    <xf numFmtId="164" fontId="0" fillId="0" borderId="0" xfId="0" applyNumberFormat="1"/>
    <xf numFmtId="3" fontId="14" fillId="0" borderId="0" xfId="0" applyNumberFormat="1" applyFont="1"/>
    <xf numFmtId="2" fontId="0" fillId="0" borderId="0" xfId="0" applyNumberFormat="1"/>
    <xf numFmtId="9" fontId="14" fillId="0" borderId="0" xfId="0" applyNumberFormat="1" applyFont="1"/>
    <xf numFmtId="10" fontId="14" fillId="0" borderId="0" xfId="0" applyNumberFormat="1" applyFont="1"/>
    <xf numFmtId="2" fontId="14" fillId="0" borderId="0" xfId="0" applyNumberFormat="1" applyFont="1"/>
    <xf numFmtId="0" fontId="11" fillId="0" borderId="4" xfId="0" applyFont="1" applyBorder="1"/>
    <xf numFmtId="10" fontId="11" fillId="0" borderId="4" xfId="6" applyNumberFormat="1" applyFont="1" applyBorder="1"/>
    <xf numFmtId="10" fontId="11" fillId="0" borderId="0" xfId="0" applyNumberFormat="1" applyFont="1"/>
    <xf numFmtId="0" fontId="12" fillId="0" borderId="4" xfId="0" applyFont="1" applyBorder="1"/>
    <xf numFmtId="10" fontId="12" fillId="6" borderId="4" xfId="0" applyNumberFormat="1" applyFont="1" applyFill="1" applyBorder="1"/>
    <xf numFmtId="0" fontId="0" fillId="0" borderId="0" xfId="0" applyAlignment="1">
      <alignment horizontal="center"/>
    </xf>
    <xf numFmtId="0" fontId="15" fillId="7" borderId="0" xfId="0" applyFont="1" applyFill="1"/>
    <xf numFmtId="0" fontId="0" fillId="0" borderId="5" xfId="0" applyBorder="1"/>
    <xf numFmtId="0" fontId="0" fillId="8" borderId="5" xfId="0" applyFill="1" applyBorder="1" applyAlignment="1">
      <alignment wrapText="1"/>
    </xf>
    <xf numFmtId="0" fontId="0" fillId="8" borderId="5" xfId="0" applyFill="1" applyBorder="1"/>
    <xf numFmtId="9" fontId="0" fillId="0" borderId="0" xfId="0" applyNumberFormat="1"/>
    <xf numFmtId="0" fontId="0" fillId="0" borderId="0" xfId="0" applyAlignment="1">
      <alignment horizontal="center" wrapText="1"/>
    </xf>
    <xf numFmtId="0" fontId="12" fillId="6" borderId="2" xfId="0" applyFont="1" applyFill="1" applyBorder="1" applyAlignment="1">
      <alignment horizontal="center"/>
    </xf>
    <xf numFmtId="0" fontId="13" fillId="0" borderId="3" xfId="0" applyFont="1" applyBorder="1"/>
    <xf numFmtId="0" fontId="0" fillId="0" borderId="0" xfId="0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1</xdr:row>
      <xdr:rowOff>66675</xdr:rowOff>
    </xdr:from>
    <xdr:to>
      <xdr:col>12</xdr:col>
      <xdr:colOff>352425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A6867-DAFB-4809-B2A8-6B83001483C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67175" y="257175"/>
          <a:ext cx="4371975" cy="6000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571500</xdr:colOff>
      <xdr:row>7</xdr:row>
      <xdr:rowOff>38100</xdr:rowOff>
    </xdr:from>
    <xdr:to>
      <xdr:col>13</xdr:col>
      <xdr:colOff>314325</xdr:colOff>
      <xdr:row>11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53BDF8-B7B3-4AB2-BF4D-41712FB643CA}"/>
            </a:ext>
            <a:ext uri="{147F2762-F138-4A5C-976F-8EAC2B608ADB}">
              <a16:predDERef xmlns:a16="http://schemas.microsoft.com/office/drawing/2014/main" pred="{ECAA6867-DAFB-4809-B2A8-6B83001483C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81425" y="1419225"/>
          <a:ext cx="5229225" cy="904875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4D85-CDA3-4B9E-B764-01F4B45113FD}">
  <dimension ref="B4:M11"/>
  <sheetViews>
    <sheetView workbookViewId="0">
      <selection activeCell="C6" sqref="C6"/>
    </sheetView>
  </sheetViews>
  <sheetFormatPr defaultRowHeight="15" x14ac:dyDescent="0.25"/>
  <cols>
    <col min="2" max="2" width="15.28515625" customWidth="1"/>
    <col min="3" max="3" width="20.42578125" customWidth="1"/>
    <col min="11" max="11" width="12.7109375" customWidth="1"/>
  </cols>
  <sheetData>
    <row r="4" spans="2:13" x14ac:dyDescent="0.25">
      <c r="K4" t="s">
        <v>162</v>
      </c>
    </row>
    <row r="5" spans="2:13" x14ac:dyDescent="0.25">
      <c r="C5" t="s">
        <v>168</v>
      </c>
    </row>
    <row r="6" spans="2:13" x14ac:dyDescent="0.25">
      <c r="K6" t="s">
        <v>161</v>
      </c>
      <c r="L6">
        <f>'Profit &amp; Loss'!L4</f>
        <v>24750.690000000002</v>
      </c>
    </row>
    <row r="7" spans="2:13" x14ac:dyDescent="0.25">
      <c r="B7" s="45" t="s">
        <v>164</v>
      </c>
      <c r="C7" t="s">
        <v>165</v>
      </c>
      <c r="D7">
        <v>2025</v>
      </c>
      <c r="E7">
        <v>2026</v>
      </c>
      <c r="F7">
        <v>2027</v>
      </c>
      <c r="G7">
        <v>2028</v>
      </c>
      <c r="H7">
        <v>2029</v>
      </c>
      <c r="I7">
        <v>2030</v>
      </c>
      <c r="K7" s="2" t="s">
        <v>163</v>
      </c>
      <c r="M7" t="s">
        <v>156</v>
      </c>
    </row>
    <row r="8" spans="2:13" x14ac:dyDescent="0.25">
      <c r="B8" s="5">
        <v>0.41199999999999998</v>
      </c>
      <c r="C8" t="s">
        <v>155</v>
      </c>
      <c r="D8">
        <f>B8*L$6</f>
        <v>10197.28428</v>
      </c>
      <c r="E8">
        <f>D8*(1+0.14)</f>
        <v>11624.904079200001</v>
      </c>
      <c r="F8">
        <f>E8*(1+0.14)</f>
        <v>13252.390650288004</v>
      </c>
      <c r="G8">
        <f>F8*(1+0.14)</f>
        <v>15107.725341328325</v>
      </c>
      <c r="H8">
        <f>G8*(1+0.1)</f>
        <v>16618.497875461158</v>
      </c>
      <c r="I8">
        <f>H8*(1+0.1)</f>
        <v>18280.347663007276</v>
      </c>
      <c r="K8" t="s">
        <v>166</v>
      </c>
      <c r="L8" t="s">
        <v>167</v>
      </c>
      <c r="M8" t="s">
        <v>158</v>
      </c>
    </row>
    <row r="9" spans="2:13" x14ac:dyDescent="0.25">
      <c r="B9" s="5">
        <v>0.35099999999999998</v>
      </c>
      <c r="C9" t="s">
        <v>153</v>
      </c>
      <c r="D9">
        <f>B9*L$6</f>
        <v>8687.4921900000008</v>
      </c>
      <c r="E9">
        <f>(1+0.095)*D9</f>
        <v>9512.8039480500011</v>
      </c>
      <c r="F9">
        <f>(1+0.095)*E9</f>
        <v>10416.520323114752</v>
      </c>
      <c r="G9">
        <f>(1+0.095)*F9</f>
        <v>11406.089753810653</v>
      </c>
      <c r="H9">
        <f>(1+0.095)*G9</f>
        <v>12489.668280422664</v>
      </c>
      <c r="I9">
        <f>(1+0.095)*H9</f>
        <v>13676.186767062816</v>
      </c>
      <c r="K9" s="5">
        <v>9.5000000000000001E-2</v>
      </c>
      <c r="M9" t="s">
        <v>157</v>
      </c>
    </row>
    <row r="10" spans="2:13" x14ac:dyDescent="0.25">
      <c r="B10" s="5">
        <f>100%-B8-B9</f>
        <v>0.2370000000000001</v>
      </c>
      <c r="C10" t="s">
        <v>154</v>
      </c>
      <c r="D10">
        <f>B10*L$6</f>
        <v>5865.9135300000034</v>
      </c>
      <c r="E10">
        <f>1.11*D10</f>
        <v>6511.1640183000045</v>
      </c>
      <c r="F10">
        <f>1.11*E10</f>
        <v>7227.3920603130055</v>
      </c>
      <c r="G10">
        <f>1.11*F10</f>
        <v>8022.405186947437</v>
      </c>
      <c r="H10">
        <f>1.11*G10</f>
        <v>8904.8697575116566</v>
      </c>
      <c r="I10">
        <f>1.11*H10</f>
        <v>9884.40543083794</v>
      </c>
      <c r="K10" s="50">
        <v>0.11</v>
      </c>
      <c r="M10" t="s">
        <v>159</v>
      </c>
    </row>
    <row r="11" spans="2:13" x14ac:dyDescent="0.25">
      <c r="C11" t="s">
        <v>160</v>
      </c>
      <c r="D11">
        <f t="shared" ref="D11:I11" si="0">D8+D9+D10</f>
        <v>24750.690000000002</v>
      </c>
      <c r="E11">
        <f t="shared" si="0"/>
        <v>27648.872045550008</v>
      </c>
      <c r="F11">
        <f t="shared" si="0"/>
        <v>30896.303033715762</v>
      </c>
      <c r="G11">
        <f t="shared" si="0"/>
        <v>34536.220282086411</v>
      </c>
      <c r="H11">
        <f t="shared" si="0"/>
        <v>38013.035913395477</v>
      </c>
      <c r="I11">
        <f t="shared" si="0"/>
        <v>41840.939860908031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E076-A24C-4204-B9FF-4A5B73E8CF03}">
  <dimension ref="B5:K24"/>
  <sheetViews>
    <sheetView topLeftCell="A13" workbookViewId="0">
      <selection activeCell="D8" sqref="D8"/>
    </sheetView>
  </sheetViews>
  <sheetFormatPr defaultRowHeight="15" x14ac:dyDescent="0.25"/>
  <cols>
    <col min="2" max="2" width="27" customWidth="1"/>
    <col min="4" max="4" width="12.42578125" customWidth="1"/>
    <col min="5" max="5" width="12" customWidth="1"/>
    <col min="6" max="6" width="12.7109375" customWidth="1"/>
    <col min="7" max="8" width="11.28515625" customWidth="1"/>
    <col min="10" max="10" width="21.5703125" customWidth="1"/>
  </cols>
  <sheetData>
    <row r="5" spans="2:11" ht="15.75" x14ac:dyDescent="0.25">
      <c r="J5" s="28" t="s">
        <v>0</v>
      </c>
      <c r="K5" s="28"/>
    </row>
    <row r="6" spans="2:11" ht="15.75" x14ac:dyDescent="0.25">
      <c r="J6" s="29" t="s">
        <v>2</v>
      </c>
    </row>
    <row r="7" spans="2:11" ht="15.75" x14ac:dyDescent="0.25">
      <c r="J7" s="29" t="s">
        <v>3</v>
      </c>
      <c r="K7">
        <f>'Data Sheet'!G37</f>
        <v>0.25503851213317902</v>
      </c>
    </row>
    <row r="8" spans="2:11" ht="15.75" x14ac:dyDescent="0.25">
      <c r="J8" s="29" t="s">
        <v>4</v>
      </c>
      <c r="K8" t="s">
        <v>5</v>
      </c>
    </row>
    <row r="9" spans="2:11" ht="15.75" x14ac:dyDescent="0.25">
      <c r="J9" s="29" t="s">
        <v>6</v>
      </c>
    </row>
    <row r="10" spans="2:11" ht="31.5" x14ac:dyDescent="0.25">
      <c r="C10">
        <v>2025</v>
      </c>
      <c r="D10">
        <v>2026</v>
      </c>
      <c r="E10">
        <v>2027</v>
      </c>
      <c r="F10">
        <v>2028</v>
      </c>
      <c r="G10">
        <v>2029</v>
      </c>
      <c r="H10">
        <v>2030</v>
      </c>
      <c r="J10" s="31" t="s">
        <v>7</v>
      </c>
    </row>
    <row r="11" spans="2:11" ht="30.75" x14ac:dyDescent="0.25">
      <c r="B11" t="s">
        <v>1</v>
      </c>
      <c r="C11">
        <v>24750.690000000002</v>
      </c>
      <c r="D11">
        <v>27648.872045550008</v>
      </c>
      <c r="E11">
        <v>30896.303033715762</v>
      </c>
      <c r="F11">
        <v>34536.220282086411</v>
      </c>
      <c r="G11">
        <v>38013.035913395477</v>
      </c>
      <c r="H11">
        <v>41840.939860908031</v>
      </c>
      <c r="J11" s="30" t="s">
        <v>8</v>
      </c>
      <c r="K11">
        <f>'Data Sheet'!G102</f>
        <v>0.76524631368645779</v>
      </c>
    </row>
    <row r="12" spans="2:11" ht="30.75" x14ac:dyDescent="0.25">
      <c r="B12" t="s">
        <v>4</v>
      </c>
      <c r="C12">
        <f>C11*0.05</f>
        <v>1237.5345000000002</v>
      </c>
      <c r="D12">
        <f>D11*0.05</f>
        <v>1382.4436022775005</v>
      </c>
      <c r="E12">
        <f>E11*0.05</f>
        <v>1544.8151516857881</v>
      </c>
      <c r="F12">
        <f>F11*0.05</f>
        <v>1726.8110141043207</v>
      </c>
      <c r="G12">
        <f>G11*0.05</f>
        <v>1900.6517956697739</v>
      </c>
      <c r="H12">
        <f>H11*0.05</f>
        <v>2092.0469930454015</v>
      </c>
      <c r="J12" s="30" t="s">
        <v>9</v>
      </c>
      <c r="K12" s="34">
        <v>8.1</v>
      </c>
    </row>
    <row r="14" spans="2:11" x14ac:dyDescent="0.25">
      <c r="B14" t="s">
        <v>10</v>
      </c>
      <c r="C14">
        <v>0.23</v>
      </c>
      <c r="D14">
        <v>0.23</v>
      </c>
      <c r="E14">
        <v>0.23</v>
      </c>
      <c r="F14">
        <v>0.23</v>
      </c>
      <c r="G14">
        <v>0.23</v>
      </c>
      <c r="H14">
        <v>0.23</v>
      </c>
      <c r="J14" s="51" t="s">
        <v>11</v>
      </c>
    </row>
    <row r="15" spans="2:11" x14ac:dyDescent="0.25">
      <c r="B15" t="s">
        <v>12</v>
      </c>
      <c r="C15">
        <v>0.24</v>
      </c>
      <c r="D15">
        <v>0.24</v>
      </c>
      <c r="E15">
        <v>0.24</v>
      </c>
      <c r="F15">
        <v>0.24</v>
      </c>
      <c r="G15">
        <v>0.24</v>
      </c>
      <c r="H15">
        <v>0.24</v>
      </c>
      <c r="J15" s="51"/>
    </row>
    <row r="16" spans="2:11" x14ac:dyDescent="0.25">
      <c r="B16" t="s">
        <v>13</v>
      </c>
      <c r="C16">
        <v>0.25</v>
      </c>
      <c r="D16">
        <v>0.25</v>
      </c>
      <c r="E16">
        <v>0.25</v>
      </c>
      <c r="F16">
        <v>0.25</v>
      </c>
      <c r="G16">
        <v>0.25</v>
      </c>
      <c r="H16">
        <v>0.25</v>
      </c>
      <c r="J16" s="51"/>
    </row>
    <row r="18" spans="2:8" x14ac:dyDescent="0.25">
      <c r="B18" t="s">
        <v>14</v>
      </c>
      <c r="D18">
        <f>D14*D11</f>
        <v>6359.2405704765024</v>
      </c>
      <c r="E18">
        <f>E14*E11</f>
        <v>7106.1496977546258</v>
      </c>
      <c r="F18">
        <f>F14*F11</f>
        <v>7943.3306648798753</v>
      </c>
      <c r="G18">
        <f>G14*G11</f>
        <v>8742.9982600809599</v>
      </c>
      <c r="H18">
        <f>H14*H11</f>
        <v>9623.4161680088473</v>
      </c>
    </row>
    <row r="19" spans="2:8" ht="15.75" x14ac:dyDescent="0.25">
      <c r="B19" s="33" t="s">
        <v>15</v>
      </c>
      <c r="D19">
        <f>'Data Sheet'!G39*Sheet1!D11</f>
        <v>381.77130587934329</v>
      </c>
      <c r="E19">
        <f>'Data Sheet'!G39*Sheet1!E11</f>
        <v>426.61132564805661</v>
      </c>
      <c r="F19">
        <f>'Data Sheet'!G39*Sheet1!F11</f>
        <v>476.87073438320834</v>
      </c>
      <c r="G19">
        <f>'Data Sheet'!G39*Sheet1!G11</f>
        <v>524.87806146981939</v>
      </c>
      <c r="H19">
        <f>'Data Sheet'!G39*Sheet1!H11</f>
        <v>577.73316117931245</v>
      </c>
    </row>
    <row r="20" spans="2:8" ht="15.75" x14ac:dyDescent="0.25">
      <c r="B20" s="33" t="s">
        <v>16</v>
      </c>
      <c r="C20">
        <f>'Data Sheet'!K29</f>
        <v>294.87</v>
      </c>
      <c r="D20" s="34">
        <f>C20*(1+K12/100)</f>
        <v>318.75446999999997</v>
      </c>
      <c r="E20" s="34">
        <f>D20*(1+K12/100)</f>
        <v>344.57358206999993</v>
      </c>
      <c r="F20" s="34">
        <f>E20*(1+K12/100)</f>
        <v>372.48404221766992</v>
      </c>
      <c r="G20" s="34">
        <f>F20*(1+K12/100)</f>
        <v>402.65524963730115</v>
      </c>
      <c r="H20" s="34">
        <f>G20*(1+K12/100)</f>
        <v>435.2703248579225</v>
      </c>
    </row>
    <row r="21" spans="2:8" ht="15.75" x14ac:dyDescent="0.25">
      <c r="B21" s="33" t="s">
        <v>17</v>
      </c>
      <c r="D21" s="34">
        <f>D18-D20-D12</f>
        <v>4658.0424981990018</v>
      </c>
      <c r="E21" s="34">
        <f>E18-E20-E12</f>
        <v>5216.7609639988377</v>
      </c>
      <c r="F21" s="34">
        <f>F18-F20-F12</f>
        <v>5844.0356085578842</v>
      </c>
      <c r="G21" s="34">
        <f>G18-G20-G12</f>
        <v>6439.6912147738858</v>
      </c>
      <c r="H21" s="34">
        <f>H18-H20-H12</f>
        <v>7096.0988501055235</v>
      </c>
    </row>
    <row r="22" spans="2:8" ht="15.75" x14ac:dyDescent="0.25">
      <c r="B22" s="33" t="s">
        <v>18</v>
      </c>
      <c r="D22" s="34">
        <f>K7*D21</f>
        <v>1187.9802281937896</v>
      </c>
      <c r="E22" s="34">
        <f>K7*E21</f>
        <v>1330.4749544127123</v>
      </c>
      <c r="F22" s="34">
        <f>K7*F21</f>
        <v>1490.4541464599201</v>
      </c>
      <c r="G22" s="34">
        <f>K7*G21</f>
        <v>1642.3692660130359</v>
      </c>
      <c r="H22" s="34">
        <f>K7*H21</f>
        <v>1809.7784926808752</v>
      </c>
    </row>
    <row r="24" spans="2:8" ht="15.75" x14ac:dyDescent="0.25">
      <c r="B24" s="33" t="s">
        <v>19</v>
      </c>
      <c r="D24" s="34">
        <f>D18-D8-D19-D22</f>
        <v>4789.489036403369</v>
      </c>
      <c r="E24" s="34">
        <f t="shared" ref="E24:H24" si="0">E18-E8-E19-E22</f>
        <v>5349.0634176938565</v>
      </c>
      <c r="F24" s="34">
        <f t="shared" si="0"/>
        <v>5976.0057840367463</v>
      </c>
      <c r="G24" s="34">
        <f t="shared" si="0"/>
        <v>6575.7509325981046</v>
      </c>
      <c r="H24" s="34">
        <f t="shared" si="0"/>
        <v>7235.9045141486595</v>
      </c>
    </row>
  </sheetData>
  <mergeCells count="1">
    <mergeCell ref="J14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279B-011D-466F-829B-E4D9CD01D3B8}">
  <dimension ref="B2:C15"/>
  <sheetViews>
    <sheetView workbookViewId="0">
      <selection activeCell="C7" sqref="C7"/>
    </sheetView>
  </sheetViews>
  <sheetFormatPr defaultRowHeight="15" x14ac:dyDescent="0.25"/>
  <cols>
    <col min="2" max="2" width="14.7109375" customWidth="1"/>
    <col min="3" max="3" width="15.140625" customWidth="1"/>
  </cols>
  <sheetData>
    <row r="2" spans="2:3" ht="15.75" x14ac:dyDescent="0.25">
      <c r="B2" s="52" t="s">
        <v>20</v>
      </c>
      <c r="C2" s="53"/>
    </row>
    <row r="4" spans="2:3" ht="15.75" x14ac:dyDescent="0.25">
      <c r="B4" s="29" t="s">
        <v>21</v>
      </c>
      <c r="C4" s="35">
        <v>17294.3</v>
      </c>
    </row>
    <row r="5" spans="2:3" ht="15.75" x14ac:dyDescent="0.25">
      <c r="B5" s="29" t="s">
        <v>22</v>
      </c>
      <c r="C5" s="36">
        <f>'Data Sheet'!K64</f>
        <v>5447.77</v>
      </c>
    </row>
    <row r="6" spans="2:3" ht="15.75" x14ac:dyDescent="0.25">
      <c r="B6" s="29" t="s">
        <v>23</v>
      </c>
      <c r="C6" s="37">
        <v>8.1000000000000003E-2</v>
      </c>
    </row>
    <row r="7" spans="2:3" ht="15.75" x14ac:dyDescent="0.25">
      <c r="B7" s="29" t="s">
        <v>24</v>
      </c>
      <c r="C7" s="37">
        <v>0.27</v>
      </c>
    </row>
    <row r="8" spans="2:3" ht="15.75" x14ac:dyDescent="0.25">
      <c r="B8" s="29" t="s">
        <v>25</v>
      </c>
      <c r="C8" s="38">
        <v>6.6000000000000003E-2</v>
      </c>
    </row>
    <row r="9" spans="2:3" ht="15.75" x14ac:dyDescent="0.25">
      <c r="B9" s="29" t="s">
        <v>26</v>
      </c>
      <c r="C9" s="39">
        <v>0.33</v>
      </c>
    </row>
    <row r="10" spans="2:3" ht="15.75" x14ac:dyDescent="0.25">
      <c r="B10" s="29" t="s">
        <v>27</v>
      </c>
      <c r="C10" s="38">
        <v>0.13</v>
      </c>
    </row>
    <row r="11" spans="2:3" ht="15.75" x14ac:dyDescent="0.25">
      <c r="B11" s="40" t="s">
        <v>28</v>
      </c>
      <c r="C11" s="41">
        <f>C8+C9*(C10-C8)</f>
        <v>8.7120000000000003E-2</v>
      </c>
    </row>
    <row r="13" spans="2:3" ht="15.75" x14ac:dyDescent="0.25">
      <c r="B13" s="29" t="s">
        <v>29</v>
      </c>
      <c r="C13" s="42">
        <f>((C4/(C5+C4)))*C11</f>
        <v>6.6250759759335892E-2</v>
      </c>
    </row>
    <row r="14" spans="2:3" ht="15.75" x14ac:dyDescent="0.25">
      <c r="B14" s="29" t="s">
        <v>30</v>
      </c>
      <c r="C14" s="42">
        <f>(C5/(C5+C4))*C6*(1-C7)</f>
        <v>1.4164350039376364E-2</v>
      </c>
    </row>
    <row r="15" spans="2:3" ht="15.75" x14ac:dyDescent="0.25">
      <c r="B15" s="43" t="s">
        <v>31</v>
      </c>
      <c r="C15" s="44">
        <f>C13+C14</f>
        <v>8.0415109798712262E-2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8951-1E48-4D64-A073-CE59068762FB}">
  <dimension ref="C2:J22"/>
  <sheetViews>
    <sheetView tabSelected="1" topLeftCell="A4" workbookViewId="0">
      <selection activeCell="E13" sqref="E13"/>
    </sheetView>
  </sheetViews>
  <sheetFormatPr defaultRowHeight="15" x14ac:dyDescent="0.25"/>
  <cols>
    <col min="3" max="3" width="21.5703125" customWidth="1"/>
    <col min="5" max="5" width="12.42578125" customWidth="1"/>
    <col min="6" max="6" width="10.85546875" customWidth="1"/>
  </cols>
  <sheetData>
    <row r="2" spans="3:10" x14ac:dyDescent="0.25">
      <c r="C2" t="s">
        <v>31</v>
      </c>
      <c r="D2" s="5">
        <f>WACC!C15</f>
        <v>8.0415109798712262E-2</v>
      </c>
      <c r="E2" s="5"/>
      <c r="F2" s="5"/>
      <c r="G2" s="5"/>
      <c r="H2" s="5"/>
    </row>
    <row r="4" spans="3:10" x14ac:dyDescent="0.25">
      <c r="C4" s="54" t="s">
        <v>32</v>
      </c>
      <c r="D4" s="54"/>
      <c r="E4" s="54"/>
      <c r="F4" s="54"/>
      <c r="G4" s="54"/>
      <c r="H4" s="54"/>
      <c r="I4" s="54"/>
      <c r="J4" s="54"/>
    </row>
    <row r="5" spans="3:10" x14ac:dyDescent="0.25">
      <c r="C5" s="47" t="s">
        <v>33</v>
      </c>
      <c r="E5" s="46" t="s">
        <v>34</v>
      </c>
      <c r="F5" s="46" t="s">
        <v>35</v>
      </c>
      <c r="G5" s="46" t="s">
        <v>36</v>
      </c>
      <c r="H5" s="46" t="s">
        <v>37</v>
      </c>
      <c r="I5" t="s">
        <v>38</v>
      </c>
    </row>
    <row r="6" spans="3:10" ht="30" x14ac:dyDescent="0.25">
      <c r="C6" s="48" t="s">
        <v>32</v>
      </c>
      <c r="E6" s="34">
        <f>Sheet1!D24</f>
        <v>4789.489036403369</v>
      </c>
      <c r="F6" s="34">
        <f>Sheet1!E24</f>
        <v>5349.0634176938565</v>
      </c>
      <c r="G6" s="34">
        <f>Sheet1!F24</f>
        <v>5976.0057840367463</v>
      </c>
      <c r="H6" s="34">
        <f>Sheet1!G24</f>
        <v>6575.7509325981046</v>
      </c>
      <c r="I6" s="34">
        <f>Sheet1!H24</f>
        <v>7235.9045141486595</v>
      </c>
      <c r="J6" s="34"/>
    </row>
    <row r="7" spans="3:10" x14ac:dyDescent="0.25">
      <c r="C7" s="49" t="s">
        <v>39</v>
      </c>
      <c r="E7">
        <v>1</v>
      </c>
      <c r="F7">
        <v>2</v>
      </c>
      <c r="G7">
        <v>3</v>
      </c>
      <c r="H7">
        <v>4</v>
      </c>
      <c r="I7">
        <v>5</v>
      </c>
    </row>
    <row r="8" spans="3:10" x14ac:dyDescent="0.25">
      <c r="C8" t="s">
        <v>40</v>
      </c>
      <c r="E8" s="34">
        <f>E6/((1+DCF!D2)^DCF!E7)</f>
        <v>4433.0081956144422</v>
      </c>
      <c r="F8" s="34">
        <f>F6/((1+DCF!D2)^DCF!F7)</f>
        <v>4582.4364242634019</v>
      </c>
      <c r="G8" s="34">
        <f>G6/((1+DCF!D2)^DCF!G7)</f>
        <v>4738.4801037446023</v>
      </c>
      <c r="H8" s="34">
        <f>H6/((1+DCF!D2)^DCF!H7)</f>
        <v>4825.9493357986776</v>
      </c>
      <c r="I8" s="34">
        <f>I6/((1+DCF!D2)^DCF!I7)</f>
        <v>4915.1817445147681</v>
      </c>
    </row>
    <row r="9" spans="3:10" x14ac:dyDescent="0.25">
      <c r="I9" s="34"/>
    </row>
    <row r="11" spans="3:10" x14ac:dyDescent="0.25">
      <c r="C11" s="54" t="s">
        <v>41</v>
      </c>
      <c r="D11" s="54"/>
      <c r="E11" s="54"/>
    </row>
    <row r="12" spans="3:10" ht="30" x14ac:dyDescent="0.25">
      <c r="C12" s="48" t="s">
        <v>42</v>
      </c>
      <c r="E12" s="34">
        <f>SUM(E8:I8)</f>
        <v>23495.055803935895</v>
      </c>
      <c r="H12" s="34"/>
    </row>
    <row r="13" spans="3:10" x14ac:dyDescent="0.25">
      <c r="C13" s="49" t="s">
        <v>43</v>
      </c>
      <c r="E13" s="50">
        <v>3.5000000000000003E-2</v>
      </c>
    </row>
    <row r="14" spans="3:10" x14ac:dyDescent="0.25">
      <c r="C14" s="49" t="s">
        <v>31</v>
      </c>
      <c r="E14" s="5">
        <f>D2</f>
        <v>8.0415109798712262E-2</v>
      </c>
    </row>
    <row r="15" spans="3:10" x14ac:dyDescent="0.25">
      <c r="C15" s="49" t="s">
        <v>44</v>
      </c>
      <c r="E15" s="34">
        <f>I6*(1+E13)/(E14-E13)</f>
        <v>164904.61446283275</v>
      </c>
    </row>
    <row r="16" spans="3:10" x14ac:dyDescent="0.25">
      <c r="C16" s="49" t="s">
        <v>45</v>
      </c>
      <c r="E16" s="34">
        <f>E15/((1+E14)^I7)</f>
        <v>112015.87154848258</v>
      </c>
    </row>
    <row r="17" spans="3:5" x14ac:dyDescent="0.25">
      <c r="C17" s="49" t="s">
        <v>46</v>
      </c>
      <c r="E17" s="34">
        <f>E16+E12</f>
        <v>135510.92735241848</v>
      </c>
    </row>
    <row r="18" spans="3:5" x14ac:dyDescent="0.25">
      <c r="C18" s="49" t="s">
        <v>47</v>
      </c>
      <c r="E18">
        <f>'Data Sheet'!K74</f>
        <v>3142.33</v>
      </c>
    </row>
    <row r="19" spans="3:5" x14ac:dyDescent="0.25">
      <c r="C19" s="49" t="s">
        <v>48</v>
      </c>
      <c r="E19">
        <f>'Data Sheet'!K64</f>
        <v>5447.77</v>
      </c>
    </row>
    <row r="20" spans="3:5" x14ac:dyDescent="0.25">
      <c r="C20" t="s">
        <v>49</v>
      </c>
      <c r="E20" s="34">
        <f>E17+E18-E19</f>
        <v>133205.48735241848</v>
      </c>
    </row>
    <row r="21" spans="3:5" ht="30" x14ac:dyDescent="0.25">
      <c r="C21" s="32" t="s">
        <v>50</v>
      </c>
      <c r="E21">
        <v>45.656500000000001</v>
      </c>
    </row>
    <row r="22" spans="3:5" x14ac:dyDescent="0.25">
      <c r="C22" t="s">
        <v>51</v>
      </c>
      <c r="E22" s="34">
        <f>E20/E21</f>
        <v>2917.5580115080761</v>
      </c>
    </row>
  </sheetData>
  <mergeCells count="2">
    <mergeCell ref="C4:J4"/>
    <mergeCell ref="C11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2"/>
  <sheetViews>
    <sheetView zoomScale="120" zoomScaleNormal="120" zoomScalePageLayoutView="120" workbookViewId="0">
      <pane xSplit="1" ySplit="1" topLeftCell="B66" activePane="bottomRight" state="frozen"/>
      <selection pane="topRight" activeCell="C4" sqref="C4"/>
      <selection pane="bottomLeft" activeCell="C4" sqref="C4"/>
      <selection pane="bottomRight" activeCell="G40" sqref="G40"/>
    </sheetView>
  </sheetViews>
  <sheetFormatPr defaultColWidth="8.85546875" defaultRowHeight="15" x14ac:dyDescent="0.25"/>
  <cols>
    <col min="1" max="1" width="27.7109375" style="4" bestFit="1" customWidth="1"/>
    <col min="2" max="11" width="13.42578125" style="4" bestFit="1" customWidth="1"/>
    <col min="12" max="16384" width="8.85546875" style="4"/>
  </cols>
  <sheetData>
    <row r="1" spans="1:11" s="1" customFormat="1" x14ac:dyDescent="0.25">
      <c r="A1" s="1" t="s">
        <v>52</v>
      </c>
      <c r="B1" s="1" t="s">
        <v>53</v>
      </c>
      <c r="E1" s="55" t="str">
        <f>IF(B2&lt;&gt;B3, "A NEW VERSION OF THE WORKSHEET IS AVAILABLE", "")</f>
        <v/>
      </c>
      <c r="F1" s="55"/>
      <c r="G1" s="55"/>
      <c r="H1" s="55"/>
      <c r="I1" s="55"/>
      <c r="J1" s="55"/>
      <c r="K1" s="55"/>
    </row>
    <row r="2" spans="1:11" x14ac:dyDescent="0.25">
      <c r="A2" s="1" t="s">
        <v>54</v>
      </c>
      <c r="B2" s="4">
        <v>2.1</v>
      </c>
      <c r="E2" s="56" t="s">
        <v>55</v>
      </c>
      <c r="F2" s="56"/>
      <c r="G2" s="56"/>
      <c r="H2" s="56"/>
      <c r="I2" s="56"/>
      <c r="J2" s="56"/>
      <c r="K2" s="56"/>
    </row>
    <row r="3" spans="1:11" x14ac:dyDescent="0.25">
      <c r="A3" s="1" t="s">
        <v>56</v>
      </c>
      <c r="B3" s="4">
        <v>2.1</v>
      </c>
    </row>
    <row r="4" spans="1:11" x14ac:dyDescent="0.25">
      <c r="A4" s="1"/>
    </row>
    <row r="5" spans="1:11" x14ac:dyDescent="0.25">
      <c r="A5" s="1" t="s">
        <v>57</v>
      </c>
    </row>
    <row r="6" spans="1:11" x14ac:dyDescent="0.25">
      <c r="A6" s="4" t="s">
        <v>58</v>
      </c>
      <c r="B6" s="4">
        <f>IF(B9&gt;0, B9/B8, 0)</f>
        <v>45.679885659838021</v>
      </c>
    </row>
    <row r="7" spans="1:11" x14ac:dyDescent="0.25">
      <c r="A7" s="4" t="s">
        <v>59</v>
      </c>
      <c r="B7">
        <v>2</v>
      </c>
    </row>
    <row r="8" spans="1:11" x14ac:dyDescent="0.25">
      <c r="A8" s="4" t="s">
        <v>60</v>
      </c>
      <c r="B8">
        <v>2099</v>
      </c>
    </row>
    <row r="9" spans="1:11" x14ac:dyDescent="0.25">
      <c r="A9" s="4" t="s">
        <v>61</v>
      </c>
      <c r="B9">
        <v>95882.08</v>
      </c>
    </row>
    <row r="15" spans="1:11" x14ac:dyDescent="0.25">
      <c r="A15" s="1" t="s">
        <v>62</v>
      </c>
    </row>
    <row r="16" spans="1:11" s="18" customFormat="1" x14ac:dyDescent="0.25">
      <c r="A16" s="17" t="s">
        <v>63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25">
      <c r="A17" s="6" t="s">
        <v>1</v>
      </c>
      <c r="B17">
        <v>14255.54</v>
      </c>
      <c r="C17">
        <v>17367.38</v>
      </c>
      <c r="D17">
        <v>15796.55</v>
      </c>
      <c r="E17">
        <v>14664.56</v>
      </c>
      <c r="F17">
        <v>15374.76</v>
      </c>
      <c r="G17">
        <v>15162.96</v>
      </c>
      <c r="H17">
        <v>16405.48</v>
      </c>
      <c r="I17">
        <v>16641.66</v>
      </c>
      <c r="J17">
        <v>20010.82</v>
      </c>
      <c r="K17">
        <v>22707.9</v>
      </c>
    </row>
    <row r="18" spans="1:11" s="6" customFormat="1" x14ac:dyDescent="0.25">
      <c r="A18" s="4" t="s">
        <v>64</v>
      </c>
      <c r="B18">
        <v>4778.49</v>
      </c>
      <c r="C18">
        <v>5339.31</v>
      </c>
      <c r="D18">
        <v>5111.62</v>
      </c>
      <c r="E18">
        <v>5150.54</v>
      </c>
      <c r="F18">
        <v>5422.05</v>
      </c>
      <c r="G18">
        <v>5847.1</v>
      </c>
      <c r="H18">
        <v>6679.56</v>
      </c>
      <c r="I18">
        <v>6626.03</v>
      </c>
      <c r="J18">
        <v>7100.91</v>
      </c>
      <c r="K18">
        <v>7100.03</v>
      </c>
    </row>
    <row r="19" spans="1:11" s="6" customFormat="1" x14ac:dyDescent="0.25">
      <c r="A19" s="4" t="s">
        <v>65</v>
      </c>
      <c r="B19">
        <v>445.92</v>
      </c>
      <c r="C19">
        <v>337.88</v>
      </c>
      <c r="D19">
        <v>-162.78</v>
      </c>
      <c r="E19">
        <v>204.45</v>
      </c>
      <c r="F19">
        <v>-8.5500000000000007</v>
      </c>
      <c r="G19">
        <v>484.86</v>
      </c>
      <c r="H19">
        <v>198.32</v>
      </c>
      <c r="I19">
        <v>-153.72999999999999</v>
      </c>
      <c r="J19">
        <v>457.44</v>
      </c>
      <c r="K19">
        <v>257.77999999999997</v>
      </c>
    </row>
    <row r="20" spans="1:11" s="6" customFormat="1" x14ac:dyDescent="0.25">
      <c r="A20" s="4" t="s">
        <v>66</v>
      </c>
      <c r="B20">
        <f>B19/B17</f>
        <v>3.1280470610022489E-2</v>
      </c>
      <c r="C20">
        <f t="shared" ref="C20:K20" si="0">C19/C17</f>
        <v>1.9454863082399302E-2</v>
      </c>
      <c r="D20">
        <f t="shared" si="0"/>
        <v>-1.0304781740316715E-2</v>
      </c>
      <c r="E20">
        <f t="shared" si="0"/>
        <v>1.3941775273175602E-2</v>
      </c>
      <c r="F20">
        <f t="shared" si="0"/>
        <v>-5.561062416584064E-4</v>
      </c>
      <c r="G20">
        <f t="shared" si="0"/>
        <v>3.197660615077795E-2</v>
      </c>
      <c r="H20">
        <f t="shared" si="0"/>
        <v>1.2088643550813509E-2</v>
      </c>
      <c r="I20">
        <f t="shared" si="0"/>
        <v>-9.2376601853420871E-3</v>
      </c>
      <c r="J20">
        <f t="shared" si="0"/>
        <v>2.2859632938580229E-2</v>
      </c>
      <c r="K20">
        <f t="shared" si="0"/>
        <v>1.1351996441766959E-2</v>
      </c>
    </row>
    <row r="21" spans="1:11" s="6" customFormat="1" x14ac:dyDescent="0.25">
      <c r="A21" s="4" t="s">
        <v>67</v>
      </c>
      <c r="B21">
        <v>381.27</v>
      </c>
      <c r="C21">
        <v>377.86</v>
      </c>
      <c r="D21">
        <v>433.88</v>
      </c>
      <c r="E21">
        <v>442.28</v>
      </c>
      <c r="F21">
        <v>443.17</v>
      </c>
      <c r="G21">
        <v>414.48</v>
      </c>
      <c r="H21">
        <v>443.96</v>
      </c>
      <c r="I21">
        <v>479.68</v>
      </c>
      <c r="J21">
        <v>493.07</v>
      </c>
      <c r="K21">
        <v>479.09</v>
      </c>
    </row>
    <row r="22" spans="1:11" s="6" customFormat="1" x14ac:dyDescent="0.25">
      <c r="A22" s="4" t="s">
        <v>68</v>
      </c>
      <c r="B22">
        <v>1102.07</v>
      </c>
      <c r="C22">
        <v>1802.78</v>
      </c>
      <c r="D22">
        <v>1539.28</v>
      </c>
      <c r="E22">
        <v>1222.1500000000001</v>
      </c>
      <c r="F22">
        <v>1384.33</v>
      </c>
      <c r="G22">
        <v>1437.71</v>
      </c>
      <c r="H22">
        <v>1487.59</v>
      </c>
      <c r="I22">
        <v>1420.26</v>
      </c>
      <c r="J22">
        <v>1739.58</v>
      </c>
      <c r="K22">
        <v>1982.33</v>
      </c>
    </row>
    <row r="23" spans="1:11" s="6" customFormat="1" x14ac:dyDescent="0.25">
      <c r="A23" s="4" t="s">
        <v>69</v>
      </c>
      <c r="B23">
        <v>2141.79</v>
      </c>
      <c r="C23">
        <v>2849.64</v>
      </c>
      <c r="D23">
        <v>2864.85</v>
      </c>
      <c r="E23">
        <v>2770.31</v>
      </c>
      <c r="F23">
        <v>2987.05</v>
      </c>
      <c r="G23">
        <v>2826.08</v>
      </c>
      <c r="H23">
        <v>2989.53</v>
      </c>
      <c r="I23">
        <v>3087.32</v>
      </c>
      <c r="J23">
        <v>3494.57</v>
      </c>
      <c r="K23">
        <v>3964.2</v>
      </c>
    </row>
    <row r="24" spans="1:11" s="6" customFormat="1" x14ac:dyDescent="0.25">
      <c r="A24" s="4" t="s">
        <v>70</v>
      </c>
      <c r="B24">
        <v>2369.09</v>
      </c>
      <c r="C24">
        <v>2377.0500000000002</v>
      </c>
      <c r="D24">
        <v>2386.73</v>
      </c>
      <c r="E24">
        <v>2512.9299999999998</v>
      </c>
      <c r="F24">
        <v>2540.9499999999998</v>
      </c>
      <c r="G24">
        <v>2230.4499999999998</v>
      </c>
      <c r="H24">
        <v>2490.33</v>
      </c>
      <c r="I24">
        <v>2755.37</v>
      </c>
      <c r="J24">
        <v>3350.86</v>
      </c>
      <c r="K24">
        <v>3676.16</v>
      </c>
    </row>
    <row r="25" spans="1:11" s="6" customFormat="1" x14ac:dyDescent="0.25">
      <c r="A25" s="4" t="s">
        <v>71</v>
      </c>
      <c r="B25">
        <v>237.68</v>
      </c>
      <c r="C25">
        <v>456.67</v>
      </c>
      <c r="D25">
        <v>149.9</v>
      </c>
      <c r="E25">
        <v>210.08</v>
      </c>
      <c r="F25">
        <v>233.86</v>
      </c>
      <c r="G25">
        <v>325.12</v>
      </c>
      <c r="H25">
        <v>2294.0100000000002</v>
      </c>
      <c r="I25">
        <v>398.7</v>
      </c>
      <c r="J25">
        <v>489.26</v>
      </c>
      <c r="K25">
        <v>486.35</v>
      </c>
    </row>
    <row r="26" spans="1:11" s="6" customFormat="1" x14ac:dyDescent="0.25">
      <c r="A26" s="6" t="s">
        <v>72</v>
      </c>
      <c r="B26">
        <v>184.37</v>
      </c>
      <c r="C26">
        <v>105.95</v>
      </c>
      <c r="D26">
        <v>-1310.48</v>
      </c>
      <c r="E26">
        <v>91.24</v>
      </c>
      <c r="F26">
        <v>-134.27000000000001</v>
      </c>
      <c r="G26">
        <v>137.62</v>
      </c>
      <c r="H26">
        <v>210.45</v>
      </c>
      <c r="I26">
        <v>150.91</v>
      </c>
      <c r="J26">
        <v>130.68</v>
      </c>
      <c r="K26">
        <v>201.61</v>
      </c>
    </row>
    <row r="27" spans="1:11" s="6" customFormat="1" x14ac:dyDescent="0.25">
      <c r="B27"/>
      <c r="C27"/>
      <c r="D27"/>
      <c r="E27"/>
      <c r="F27"/>
      <c r="G27"/>
      <c r="H27"/>
      <c r="I27"/>
      <c r="J27"/>
      <c r="K27"/>
    </row>
    <row r="28" spans="1:11" s="6" customFormat="1" x14ac:dyDescent="0.25">
      <c r="A28" s="6" t="s">
        <v>73</v>
      </c>
      <c r="B28">
        <v>487.13</v>
      </c>
      <c r="C28">
        <v>912.23</v>
      </c>
      <c r="D28">
        <v>1085.8699999999999</v>
      </c>
      <c r="E28">
        <v>846.05</v>
      </c>
      <c r="F28">
        <v>970.22</v>
      </c>
      <c r="G28">
        <v>887.41</v>
      </c>
      <c r="H28">
        <v>1658.71</v>
      </c>
      <c r="I28">
        <v>880.69</v>
      </c>
      <c r="J28">
        <v>1196.81</v>
      </c>
      <c r="K28">
        <v>1169.26</v>
      </c>
    </row>
    <row r="29" spans="1:11" s="6" customFormat="1" x14ac:dyDescent="0.25">
      <c r="A29" s="6" t="s">
        <v>74</v>
      </c>
      <c r="B29">
        <v>59.47</v>
      </c>
      <c r="C29">
        <v>152.53</v>
      </c>
      <c r="D29">
        <v>204.35</v>
      </c>
      <c r="E29">
        <v>302.49</v>
      </c>
      <c r="F29">
        <v>362.98</v>
      </c>
      <c r="G29">
        <v>140.63999999999999</v>
      </c>
      <c r="H29">
        <v>142.77000000000001</v>
      </c>
      <c r="I29">
        <v>274.3</v>
      </c>
      <c r="J29">
        <v>311.61</v>
      </c>
      <c r="K29">
        <v>294.87</v>
      </c>
    </row>
    <row r="30" spans="1:11" s="6" customFormat="1" x14ac:dyDescent="0.25">
      <c r="A30" s="6" t="s">
        <v>75</v>
      </c>
      <c r="B30"/>
      <c r="C30">
        <f>(C29-B29)/B29</f>
        <v>1.5648225996300658</v>
      </c>
      <c r="D30">
        <f t="shared" ref="D30:K30" si="1">(D29-C29)/C29</f>
        <v>0.33973644528945118</v>
      </c>
      <c r="E30">
        <f t="shared" si="1"/>
        <v>0.48025446537802796</v>
      </c>
      <c r="F30">
        <f t="shared" si="1"/>
        <v>0.19997355284472215</v>
      </c>
      <c r="G30">
        <f t="shared" si="1"/>
        <v>-0.61254063584770513</v>
      </c>
      <c r="H30">
        <f t="shared" si="1"/>
        <v>1.5145051194539421E-2</v>
      </c>
      <c r="I30">
        <f t="shared" si="1"/>
        <v>0.92127197590530219</v>
      </c>
      <c r="J30">
        <f t="shared" si="1"/>
        <v>0.13601895734597155</v>
      </c>
      <c r="K30">
        <f t="shared" si="1"/>
        <v>-5.372099740059693E-2</v>
      </c>
    </row>
    <row r="31" spans="1:11" s="6" customFormat="1" x14ac:dyDescent="0.25">
      <c r="A31" s="6" t="s">
        <v>76</v>
      </c>
      <c r="B31">
        <v>3328.84</v>
      </c>
      <c r="C31">
        <v>3543.14</v>
      </c>
      <c r="D31">
        <v>546.80999999999995</v>
      </c>
      <c r="E31">
        <v>1503.42</v>
      </c>
      <c r="F31">
        <v>887.33</v>
      </c>
      <c r="G31">
        <v>1676.45</v>
      </c>
      <c r="H31">
        <v>-1372.21</v>
      </c>
      <c r="I31">
        <v>716.49</v>
      </c>
      <c r="J31">
        <v>2422.27</v>
      </c>
      <c r="K31">
        <v>4015</v>
      </c>
    </row>
    <row r="32" spans="1:11" s="6" customFormat="1" x14ac:dyDescent="0.25">
      <c r="A32" s="6" t="s">
        <v>18</v>
      </c>
      <c r="B32">
        <v>1059.3399999999999</v>
      </c>
      <c r="C32">
        <v>978.51</v>
      </c>
      <c r="D32">
        <v>288.45999999999998</v>
      </c>
      <c r="E32">
        <v>887.94</v>
      </c>
      <c r="F32">
        <v>1157.1099999999999</v>
      </c>
      <c r="G32">
        <v>448.52</v>
      </c>
      <c r="H32">
        <v>137.15</v>
      </c>
      <c r="I32">
        <v>268.8</v>
      </c>
      <c r="J32">
        <v>486.7</v>
      </c>
      <c r="K32">
        <v>708.74</v>
      </c>
    </row>
    <row r="33" spans="1:14" s="6" customFormat="1" x14ac:dyDescent="0.25">
      <c r="A33" s="6" t="s">
        <v>77</v>
      </c>
      <c r="B33">
        <f>B32/B31</f>
        <v>0.31823097535477818</v>
      </c>
      <c r="C33">
        <f t="shared" ref="C33:K33" si="2">C32/C31</f>
        <v>0.27617028963010209</v>
      </c>
      <c r="D33">
        <f t="shared" si="2"/>
        <v>0.52753241528135919</v>
      </c>
      <c r="E33">
        <f t="shared" si="2"/>
        <v>0.59061340144470609</v>
      </c>
      <c r="F33">
        <f t="shared" si="2"/>
        <v>1.3040357026134581</v>
      </c>
      <c r="G33">
        <f t="shared" si="2"/>
        <v>0.26754153121178681</v>
      </c>
      <c r="H33">
        <f t="shared" si="2"/>
        <v>-9.9948258648457605E-2</v>
      </c>
      <c r="I33">
        <f t="shared" si="2"/>
        <v>0.37516224929866432</v>
      </c>
      <c r="J33">
        <f t="shared" si="2"/>
        <v>0.20092722941703442</v>
      </c>
      <c r="K33">
        <f t="shared" si="2"/>
        <v>0.17652303860523039</v>
      </c>
    </row>
    <row r="34" spans="1:14" x14ac:dyDescent="0.25">
      <c r="A34" s="6" t="s">
        <v>78</v>
      </c>
      <c r="B34">
        <v>2260.7399999999998</v>
      </c>
      <c r="C34">
        <v>2557.46</v>
      </c>
      <c r="D34">
        <v>251.26</v>
      </c>
      <c r="E34">
        <v>606.54999999999995</v>
      </c>
      <c r="F34">
        <v>-269.39</v>
      </c>
      <c r="G34">
        <v>1216.53</v>
      </c>
      <c r="H34">
        <v>-1528.04</v>
      </c>
      <c r="I34">
        <v>430.08</v>
      </c>
      <c r="J34">
        <v>1914.48</v>
      </c>
      <c r="K34">
        <v>3281.62</v>
      </c>
      <c r="L34" s="6"/>
      <c r="M34" s="6"/>
      <c r="N34" s="6"/>
    </row>
    <row r="35" spans="1:14" x14ac:dyDescent="0.25">
      <c r="A35" s="6" t="s">
        <v>79</v>
      </c>
      <c r="B35">
        <v>337.95</v>
      </c>
      <c r="C35">
        <v>338.7</v>
      </c>
      <c r="D35">
        <v>226.05</v>
      </c>
      <c r="E35">
        <v>226.25</v>
      </c>
      <c r="F35">
        <v>271.8</v>
      </c>
      <c r="G35">
        <v>294.89999999999998</v>
      </c>
      <c r="H35">
        <v>181.8</v>
      </c>
      <c r="I35">
        <v>182</v>
      </c>
      <c r="J35">
        <v>364.56</v>
      </c>
      <c r="K35">
        <v>547.91999999999996</v>
      </c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4" x14ac:dyDescent="0.25">
      <c r="A37" s="6"/>
      <c r="F37" s="4" t="s">
        <v>80</v>
      </c>
      <c r="G37" s="4">
        <f>AVERAGE(G33,I33,J33,K33)</f>
        <v>0.25503851213317902</v>
      </c>
    </row>
    <row r="38" spans="1:14" ht="30" x14ac:dyDescent="0.25">
      <c r="A38" s="6"/>
      <c r="F38" s="25" t="s">
        <v>81</v>
      </c>
      <c r="G38" s="4">
        <f>AVERAGE(G30:K30)</f>
        <v>8.1234870239502238E-2</v>
      </c>
    </row>
    <row r="39" spans="1:14" ht="60" x14ac:dyDescent="0.25">
      <c r="A39" s="6"/>
      <c r="F39" s="25" t="s">
        <v>82</v>
      </c>
      <c r="G39" s="4">
        <f>AVERAGE(G20:K20)</f>
        <v>1.3807843779319312E-2</v>
      </c>
    </row>
    <row r="40" spans="1:14" ht="15.75" x14ac:dyDescent="0.25">
      <c r="A40" s="6"/>
      <c r="F40" s="26" t="s">
        <v>23</v>
      </c>
      <c r="G40" s="4">
        <f>K29/K64</f>
        <v>5.41267344252786E-2</v>
      </c>
    </row>
    <row r="41" spans="1:14" x14ac:dyDescent="0.25">
      <c r="A41" s="6"/>
    </row>
    <row r="42" spans="1:14" s="18" customFormat="1" x14ac:dyDescent="0.25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s="6" customForma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18"/>
      <c r="M43" s="18"/>
      <c r="N43" s="18"/>
    </row>
    <row r="44" spans="1:14" s="6" customFormat="1" x14ac:dyDescent="0.25">
      <c r="A44" s="1" t="s">
        <v>83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4" s="6" customFormat="1" x14ac:dyDescent="0.25">
      <c r="A45" s="17" t="s">
        <v>63</v>
      </c>
      <c r="B45" s="12">
        <v>45107</v>
      </c>
      <c r="C45" s="12">
        <v>45199</v>
      </c>
      <c r="D45" s="12">
        <v>45291</v>
      </c>
      <c r="E45" s="12">
        <v>45382</v>
      </c>
      <c r="F45" s="12">
        <v>45473</v>
      </c>
      <c r="G45" s="12">
        <v>45565</v>
      </c>
      <c r="H45" s="12">
        <v>45657</v>
      </c>
      <c r="I45" s="12">
        <v>45747</v>
      </c>
      <c r="J45" s="12">
        <v>45838</v>
      </c>
      <c r="K45" s="12">
        <v>45930</v>
      </c>
    </row>
    <row r="46" spans="1:14" s="6" customFormat="1" x14ac:dyDescent="0.25">
      <c r="A46" s="6" t="s">
        <v>1</v>
      </c>
      <c r="B46">
        <v>4814.0600000000004</v>
      </c>
      <c r="C46">
        <v>5038.5600000000004</v>
      </c>
      <c r="D46">
        <v>5197.41</v>
      </c>
      <c r="E46">
        <v>4960.79</v>
      </c>
      <c r="F46">
        <v>5600.33</v>
      </c>
      <c r="G46">
        <v>5672.73</v>
      </c>
      <c r="H46">
        <v>5767.71</v>
      </c>
      <c r="I46">
        <v>5667.13</v>
      </c>
      <c r="J46">
        <v>6268.34</v>
      </c>
      <c r="K46">
        <v>7047.51</v>
      </c>
    </row>
    <row r="47" spans="1:14" s="6" customFormat="1" x14ac:dyDescent="0.25">
      <c r="A47" s="6" t="s">
        <v>84</v>
      </c>
      <c r="B47">
        <v>3957.77</v>
      </c>
      <c r="C47">
        <v>4120.8</v>
      </c>
      <c r="D47">
        <v>4159.47</v>
      </c>
      <c r="E47">
        <v>3963.94</v>
      </c>
      <c r="F47">
        <v>4359.3599999999997</v>
      </c>
      <c r="G47">
        <v>4332.37</v>
      </c>
      <c r="H47">
        <v>4411.8100000000004</v>
      </c>
      <c r="I47">
        <v>4345.96</v>
      </c>
      <c r="J47">
        <v>4541.1000000000004</v>
      </c>
      <c r="K47">
        <v>4706.18</v>
      </c>
    </row>
    <row r="48" spans="1:14" s="6" customFormat="1" x14ac:dyDescent="0.25">
      <c r="A48" s="6" t="s">
        <v>72</v>
      </c>
      <c r="B48">
        <v>22.83</v>
      </c>
      <c r="C48">
        <v>40.4</v>
      </c>
      <c r="D48">
        <v>29.37</v>
      </c>
      <c r="E48">
        <v>29.25</v>
      </c>
      <c r="F48">
        <v>67.78</v>
      </c>
      <c r="G48">
        <v>42.29</v>
      </c>
      <c r="H48">
        <v>53.71</v>
      </c>
      <c r="I48">
        <v>56.95</v>
      </c>
      <c r="J48">
        <v>79.040000000000006</v>
      </c>
      <c r="K48">
        <v>90</v>
      </c>
    </row>
    <row r="49" spans="1:14" s="6" customFormat="1" x14ac:dyDescent="0.25">
      <c r="A49" s="6" t="s">
        <v>73</v>
      </c>
      <c r="B49">
        <v>234.66</v>
      </c>
      <c r="C49">
        <v>247.85</v>
      </c>
      <c r="D49">
        <v>257.2</v>
      </c>
      <c r="E49">
        <v>457.1</v>
      </c>
      <c r="F49">
        <v>247.71</v>
      </c>
      <c r="G49">
        <v>256.92</v>
      </c>
      <c r="H49">
        <v>271.45</v>
      </c>
      <c r="I49">
        <v>393.18</v>
      </c>
      <c r="J49">
        <v>298.98</v>
      </c>
      <c r="K49">
        <v>316.77</v>
      </c>
    </row>
    <row r="50" spans="1:14" s="6" customFormat="1" x14ac:dyDescent="0.25">
      <c r="A50" s="6" t="s">
        <v>85</v>
      </c>
      <c r="B50">
        <f>B49/B46</f>
        <v>4.8744718595115137E-2</v>
      </c>
      <c r="C50">
        <f t="shared" ref="C50:K50" si="3">C49/C46</f>
        <v>4.919064177066463E-2</v>
      </c>
      <c r="D50">
        <f t="shared" si="3"/>
        <v>4.9486186388989897E-2</v>
      </c>
      <c r="E50">
        <f t="shared" si="3"/>
        <v>9.2142582129056058E-2</v>
      </c>
      <c r="F50">
        <f t="shared" si="3"/>
        <v>4.4231322082805835E-2</v>
      </c>
      <c r="G50">
        <f t="shared" si="3"/>
        <v>4.5290362841171716E-2</v>
      </c>
      <c r="H50">
        <f t="shared" si="3"/>
        <v>4.7063739335022045E-2</v>
      </c>
      <c r="I50">
        <f t="shared" si="3"/>
        <v>6.9379033126114986E-2</v>
      </c>
      <c r="J50">
        <f t="shared" si="3"/>
        <v>4.7696838397406655E-2</v>
      </c>
      <c r="K50">
        <f t="shared" si="3"/>
        <v>4.4947790070535544E-2</v>
      </c>
    </row>
    <row r="51" spans="1:14" x14ac:dyDescent="0.25">
      <c r="A51" s="6" t="s">
        <v>74</v>
      </c>
      <c r="B51">
        <v>85.67</v>
      </c>
      <c r="C51">
        <v>80.64</v>
      </c>
      <c r="D51">
        <v>74.010000000000005</v>
      </c>
      <c r="E51">
        <v>71.290000000000006</v>
      </c>
      <c r="F51">
        <v>68.010000000000005</v>
      </c>
      <c r="G51">
        <v>70.87</v>
      </c>
      <c r="H51">
        <v>66.89</v>
      </c>
      <c r="I51">
        <v>89.1</v>
      </c>
      <c r="J51">
        <v>91.76</v>
      </c>
      <c r="K51">
        <v>107.59</v>
      </c>
      <c r="L51" s="6"/>
      <c r="M51" s="6"/>
      <c r="N51" s="6"/>
    </row>
    <row r="52" spans="1:14" x14ac:dyDescent="0.25">
      <c r="A52" s="6" t="s">
        <v>76</v>
      </c>
      <c r="B52">
        <v>558.79</v>
      </c>
      <c r="C52">
        <v>629.66999999999996</v>
      </c>
      <c r="D52">
        <v>736.1</v>
      </c>
      <c r="E52">
        <v>497.71</v>
      </c>
      <c r="F52">
        <v>993.03</v>
      </c>
      <c r="G52">
        <v>1054.8599999999999</v>
      </c>
      <c r="H52">
        <v>1071.27</v>
      </c>
      <c r="I52">
        <v>895.84</v>
      </c>
      <c r="J52">
        <v>1415.54</v>
      </c>
      <c r="K52">
        <v>2006.97</v>
      </c>
    </row>
    <row r="53" spans="1:14" x14ac:dyDescent="0.25">
      <c r="A53" s="6" t="s">
        <v>18</v>
      </c>
      <c r="B53">
        <v>105.46</v>
      </c>
      <c r="C53">
        <v>134.35</v>
      </c>
      <c r="D53">
        <v>117.4</v>
      </c>
      <c r="E53">
        <v>129.49</v>
      </c>
      <c r="F53">
        <v>187.49</v>
      </c>
      <c r="G53">
        <v>195.38</v>
      </c>
      <c r="H53">
        <v>212.41</v>
      </c>
      <c r="I53">
        <v>113.46</v>
      </c>
      <c r="J53">
        <v>194.08</v>
      </c>
      <c r="K53">
        <v>522.14</v>
      </c>
    </row>
    <row r="54" spans="1:14" x14ac:dyDescent="0.25">
      <c r="A54" s="6" t="s">
        <v>78</v>
      </c>
      <c r="B54">
        <v>452.26</v>
      </c>
      <c r="C54">
        <v>489.67</v>
      </c>
      <c r="D54">
        <v>613.12</v>
      </c>
      <c r="E54">
        <v>359.43</v>
      </c>
      <c r="F54">
        <v>801.31</v>
      </c>
      <c r="G54">
        <v>852.63</v>
      </c>
      <c r="H54">
        <v>855.16</v>
      </c>
      <c r="I54">
        <v>772.52</v>
      </c>
      <c r="J54">
        <v>1219.03</v>
      </c>
      <c r="K54">
        <v>1477.92</v>
      </c>
    </row>
    <row r="55" spans="1:14" x14ac:dyDescent="0.25">
      <c r="A55" s="6" t="s">
        <v>86</v>
      </c>
      <c r="B55">
        <v>856.29</v>
      </c>
      <c r="C55">
        <v>917.76</v>
      </c>
      <c r="D55">
        <v>1037.94</v>
      </c>
      <c r="E55">
        <v>996.85</v>
      </c>
      <c r="F55">
        <v>1240.97</v>
      </c>
      <c r="G55">
        <v>1340.36</v>
      </c>
      <c r="H55">
        <v>1355.9</v>
      </c>
      <c r="I55">
        <v>1321.17</v>
      </c>
      <c r="J55">
        <v>1727.24</v>
      </c>
      <c r="K55">
        <v>2341.33</v>
      </c>
    </row>
    <row r="56" spans="1:14" x14ac:dyDescent="0.25">
      <c r="A56" s="6"/>
    </row>
    <row r="57" spans="1:14" s="18" customFormat="1" x14ac:dyDescent="0.25">
      <c r="A57" s="6"/>
      <c r="B57" s="4"/>
      <c r="C57" s="4"/>
      <c r="D57" s="4"/>
      <c r="E57" s="4" t="s">
        <v>87</v>
      </c>
      <c r="F57" s="4">
        <f>AVERAGE(G50:K50)</f>
        <v>5.0875552754050188E-2</v>
      </c>
      <c r="G57" s="4"/>
      <c r="H57" s="4"/>
      <c r="I57" s="4"/>
      <c r="J57" s="4"/>
      <c r="K57" s="4"/>
      <c r="L57" s="4"/>
      <c r="M57" s="4"/>
      <c r="N57" s="4"/>
    </row>
    <row r="58" spans="1:14" x14ac:dyDescent="0.25">
      <c r="A58" s="6"/>
      <c r="L58" s="18"/>
      <c r="M58" s="18"/>
      <c r="N58" s="18"/>
    </row>
    <row r="59" spans="1:14" x14ac:dyDescent="0.25">
      <c r="A59" s="6"/>
    </row>
    <row r="60" spans="1:14" x14ac:dyDescent="0.25">
      <c r="A60" s="1" t="s">
        <v>88</v>
      </c>
    </row>
    <row r="61" spans="1:14" x14ac:dyDescent="0.25">
      <c r="A61" s="17" t="s">
        <v>63</v>
      </c>
      <c r="B61" s="12">
        <v>42460</v>
      </c>
      <c r="C61" s="12">
        <v>42825</v>
      </c>
      <c r="D61" s="12">
        <v>43190</v>
      </c>
      <c r="E61" s="12">
        <v>43555</v>
      </c>
      <c r="F61" s="12">
        <v>43921</v>
      </c>
      <c r="G61" s="12">
        <v>44286</v>
      </c>
      <c r="H61" s="12">
        <v>44651</v>
      </c>
      <c r="I61" s="12">
        <v>45016</v>
      </c>
      <c r="J61" s="12">
        <v>45382</v>
      </c>
      <c r="K61" s="12">
        <v>45747</v>
      </c>
    </row>
    <row r="62" spans="1:14" s="1" customFormat="1" x14ac:dyDescent="0.25">
      <c r="A62" s="6" t="s">
        <v>89</v>
      </c>
      <c r="B62">
        <v>90.12</v>
      </c>
      <c r="C62">
        <v>90.32</v>
      </c>
      <c r="D62">
        <v>90.42</v>
      </c>
      <c r="E62">
        <v>90.5</v>
      </c>
      <c r="F62">
        <v>90.6</v>
      </c>
      <c r="G62">
        <v>90.74</v>
      </c>
      <c r="H62">
        <v>90.9</v>
      </c>
      <c r="I62">
        <v>91</v>
      </c>
      <c r="J62">
        <v>91.14</v>
      </c>
      <c r="K62">
        <v>91.32</v>
      </c>
      <c r="L62" s="4"/>
      <c r="M62" s="4"/>
      <c r="N62" s="4"/>
    </row>
    <row r="63" spans="1:14" x14ac:dyDescent="0.25">
      <c r="A63" s="6" t="s">
        <v>90</v>
      </c>
      <c r="B63">
        <v>11073.25</v>
      </c>
      <c r="C63">
        <v>13407.25</v>
      </c>
      <c r="D63">
        <v>13486.64</v>
      </c>
      <c r="E63">
        <v>13651.73</v>
      </c>
      <c r="F63">
        <v>12446.1</v>
      </c>
      <c r="G63">
        <v>13712.4</v>
      </c>
      <c r="H63">
        <v>12062.37</v>
      </c>
      <c r="I63">
        <v>12373.5</v>
      </c>
      <c r="J63">
        <v>14199.15</v>
      </c>
      <c r="K63">
        <v>17112.18</v>
      </c>
      <c r="L63" s="1"/>
      <c r="M63" s="1"/>
      <c r="N63" s="1"/>
    </row>
    <row r="64" spans="1:14" x14ac:dyDescent="0.25">
      <c r="A64" s="6" t="s">
        <v>91</v>
      </c>
      <c r="B64">
        <v>7177.52</v>
      </c>
      <c r="C64">
        <v>7966.09</v>
      </c>
      <c r="D64">
        <v>7142.8</v>
      </c>
      <c r="E64">
        <v>8496.07</v>
      </c>
      <c r="F64">
        <v>6305.32</v>
      </c>
      <c r="G64">
        <v>5129.08</v>
      </c>
      <c r="H64">
        <v>4158.38</v>
      </c>
      <c r="I64">
        <v>4541.5200000000004</v>
      </c>
      <c r="J64">
        <v>2921.77</v>
      </c>
      <c r="K64">
        <v>5447.77</v>
      </c>
    </row>
    <row r="65" spans="1:14" x14ac:dyDescent="0.25">
      <c r="A65" s="6" t="s">
        <v>92</v>
      </c>
      <c r="B65">
        <v>3957.29</v>
      </c>
      <c r="C65">
        <v>4748.7700000000004</v>
      </c>
      <c r="D65">
        <v>5299.99</v>
      </c>
      <c r="E65">
        <v>5422.79</v>
      </c>
      <c r="F65">
        <v>5967.52</v>
      </c>
      <c r="G65">
        <v>4498.01</v>
      </c>
      <c r="H65">
        <v>5339.84</v>
      </c>
      <c r="I65">
        <v>5794.26</v>
      </c>
      <c r="J65">
        <v>6539.25</v>
      </c>
      <c r="K65">
        <v>6327.2</v>
      </c>
    </row>
    <row r="66" spans="1:14" x14ac:dyDescent="0.25">
      <c r="A66" s="1" t="s">
        <v>93</v>
      </c>
      <c r="B66">
        <v>22298.18</v>
      </c>
      <c r="C66">
        <v>26212.43</v>
      </c>
      <c r="D66">
        <v>26019.85</v>
      </c>
      <c r="E66">
        <v>27661.09</v>
      </c>
      <c r="F66">
        <v>24809.54</v>
      </c>
      <c r="G66">
        <v>23430.23</v>
      </c>
      <c r="H66">
        <v>21651.49</v>
      </c>
      <c r="I66">
        <v>22800.28</v>
      </c>
      <c r="J66">
        <v>23751.31</v>
      </c>
      <c r="K66">
        <v>28978.47</v>
      </c>
    </row>
    <row r="67" spans="1:14" s="1" customFormat="1" x14ac:dyDescent="0.25">
      <c r="A67" s="6" t="s">
        <v>94</v>
      </c>
      <c r="B67">
        <v>8716.9599999999991</v>
      </c>
      <c r="C67">
        <v>11032.93</v>
      </c>
      <c r="D67">
        <v>10361.99</v>
      </c>
      <c r="E67">
        <v>11086.71</v>
      </c>
      <c r="F67">
        <v>7938.11</v>
      </c>
      <c r="G67">
        <v>7880.76</v>
      </c>
      <c r="H67">
        <v>7381.62</v>
      </c>
      <c r="I67">
        <v>8355.24</v>
      </c>
      <c r="J67">
        <v>8878.2999999999993</v>
      </c>
      <c r="K67">
        <v>9719.35</v>
      </c>
      <c r="L67" s="4"/>
      <c r="M67" s="4"/>
      <c r="N67" s="4"/>
    </row>
    <row r="68" spans="1:14" s="6" customFormat="1" x14ac:dyDescent="0.25">
      <c r="A68" s="6" t="s">
        <v>95</v>
      </c>
      <c r="B68">
        <v>2702.4</v>
      </c>
      <c r="C68">
        <v>2133.06</v>
      </c>
      <c r="D68">
        <v>2598.1999999999998</v>
      </c>
      <c r="E68">
        <v>1639.71</v>
      </c>
      <c r="F68">
        <v>939.62</v>
      </c>
      <c r="G68">
        <v>1066.26</v>
      </c>
      <c r="H68">
        <v>1146.28</v>
      </c>
      <c r="I68">
        <v>1237.99</v>
      </c>
      <c r="J68">
        <v>772.53</v>
      </c>
      <c r="K68">
        <v>516.64</v>
      </c>
      <c r="L68" s="1"/>
      <c r="M68" s="1"/>
      <c r="N68" s="1"/>
    </row>
    <row r="69" spans="1:14" x14ac:dyDescent="0.25">
      <c r="A69" s="6" t="s">
        <v>96</v>
      </c>
      <c r="B69">
        <v>16.350000000000001</v>
      </c>
      <c r="C69">
        <v>2136.13</v>
      </c>
      <c r="D69">
        <v>261.57</v>
      </c>
      <c r="E69">
        <v>2295.4899999999998</v>
      </c>
      <c r="F69">
        <v>2374.3200000000002</v>
      </c>
      <c r="G69">
        <v>2454.88</v>
      </c>
      <c r="H69">
        <v>900</v>
      </c>
      <c r="I69">
        <v>516.9</v>
      </c>
      <c r="J69">
        <v>1074.6300000000001</v>
      </c>
      <c r="K69">
        <v>1146.3800000000001</v>
      </c>
      <c r="L69" s="6"/>
      <c r="M69" s="6"/>
      <c r="N69" s="6"/>
    </row>
    <row r="70" spans="1:14" x14ac:dyDescent="0.25">
      <c r="A70" s="6" t="s">
        <v>97</v>
      </c>
      <c r="B70">
        <v>10862.47</v>
      </c>
      <c r="C70">
        <v>10910.31</v>
      </c>
      <c r="D70">
        <v>12798.09</v>
      </c>
      <c r="E70">
        <v>12639.18</v>
      </c>
      <c r="F70">
        <v>13557.49</v>
      </c>
      <c r="G70">
        <v>12028.33</v>
      </c>
      <c r="H70">
        <v>12223.59</v>
      </c>
      <c r="I70">
        <v>12690.15</v>
      </c>
      <c r="J70">
        <v>13025.85</v>
      </c>
      <c r="K70">
        <v>17596.099999999999</v>
      </c>
    </row>
    <row r="71" spans="1:14" x14ac:dyDescent="0.25">
      <c r="A71" s="1" t="s">
        <v>93</v>
      </c>
      <c r="B71">
        <v>22298.18</v>
      </c>
      <c r="C71">
        <v>26212.43</v>
      </c>
      <c r="D71">
        <v>26019.85</v>
      </c>
      <c r="E71">
        <v>27661.09</v>
      </c>
      <c r="F71">
        <v>24809.54</v>
      </c>
      <c r="G71">
        <v>23430.23</v>
      </c>
      <c r="H71">
        <v>21651.49</v>
      </c>
      <c r="I71">
        <v>22800.28</v>
      </c>
      <c r="J71">
        <v>23751.31</v>
      </c>
      <c r="K71">
        <v>28978.47</v>
      </c>
    </row>
    <row r="72" spans="1:14" x14ac:dyDescent="0.25">
      <c r="A72" s="6" t="s">
        <v>98</v>
      </c>
      <c r="B72">
        <v>4548.76</v>
      </c>
      <c r="C72">
        <v>4307.34</v>
      </c>
      <c r="D72">
        <v>5192.21</v>
      </c>
      <c r="E72">
        <v>5149.8</v>
      </c>
      <c r="F72">
        <v>5445.93</v>
      </c>
      <c r="G72">
        <v>4474.32</v>
      </c>
      <c r="H72">
        <v>4261.9399999999996</v>
      </c>
      <c r="I72">
        <v>4480.7</v>
      </c>
      <c r="J72">
        <v>4692.05</v>
      </c>
      <c r="K72">
        <v>5497.1</v>
      </c>
    </row>
    <row r="73" spans="1:14" x14ac:dyDescent="0.25">
      <c r="A73" s="6" t="s">
        <v>99</v>
      </c>
      <c r="B73">
        <v>3273.65</v>
      </c>
      <c r="C73">
        <v>3642.28</v>
      </c>
      <c r="D73">
        <v>3662.49</v>
      </c>
      <c r="E73">
        <v>3836.77</v>
      </c>
      <c r="F73">
        <v>3456.87</v>
      </c>
      <c r="G73">
        <v>4092.01</v>
      </c>
      <c r="H73">
        <v>4630.7299999999996</v>
      </c>
      <c r="I73">
        <v>4491.76</v>
      </c>
      <c r="J73">
        <v>4953.8999999999996</v>
      </c>
      <c r="K73">
        <v>5476.35</v>
      </c>
    </row>
    <row r="74" spans="1:14" x14ac:dyDescent="0.25">
      <c r="A74" s="4" t="s">
        <v>100</v>
      </c>
      <c r="B74">
        <v>821.75</v>
      </c>
      <c r="C74">
        <v>698.17</v>
      </c>
      <c r="D74">
        <v>1408.03</v>
      </c>
      <c r="E74">
        <v>987.2</v>
      </c>
      <c r="F74">
        <v>2454.3000000000002</v>
      </c>
      <c r="G74">
        <v>1742.46</v>
      </c>
      <c r="H74">
        <v>1098.1300000000001</v>
      </c>
      <c r="I74">
        <v>1293.1300000000001</v>
      </c>
      <c r="J74">
        <v>1202.54</v>
      </c>
      <c r="K74">
        <v>3142.33</v>
      </c>
    </row>
    <row r="75" spans="1:14" x14ac:dyDescent="0.25">
      <c r="A75" s="4" t="s">
        <v>101</v>
      </c>
      <c r="B75">
        <v>450582969</v>
      </c>
      <c r="C75">
        <v>451576869</v>
      </c>
      <c r="D75">
        <v>452082850</v>
      </c>
      <c r="E75">
        <v>452493697</v>
      </c>
      <c r="F75">
        <v>452998121</v>
      </c>
      <c r="G75">
        <v>453680133</v>
      </c>
      <c r="H75">
        <v>454475014</v>
      </c>
      <c r="I75">
        <v>454981335</v>
      </c>
      <c r="J75">
        <v>455678908</v>
      </c>
      <c r="K75">
        <v>456565045</v>
      </c>
    </row>
    <row r="76" spans="1:14" x14ac:dyDescent="0.25">
      <c r="A76" s="4" t="s">
        <v>102</v>
      </c>
    </row>
    <row r="77" spans="1:14" x14ac:dyDescent="0.25">
      <c r="A77" s="4" t="s">
        <v>103</v>
      </c>
      <c r="B77">
        <v>2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K77">
        <v>2</v>
      </c>
    </row>
    <row r="79" spans="1:14" x14ac:dyDescent="0.25">
      <c r="A79" s="6"/>
    </row>
    <row r="80" spans="1:14" x14ac:dyDescent="0.25">
      <c r="A80" s="6"/>
    </row>
    <row r="81" spans="1:14" x14ac:dyDescent="0.25">
      <c r="A81" s="6"/>
    </row>
    <row r="82" spans="1:14" s="18" customFormat="1" x14ac:dyDescent="0.25">
      <c r="A82" s="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s="1" customFormat="1" x14ac:dyDescent="0.25">
      <c r="A83" s="6"/>
      <c r="B83" s="4"/>
      <c r="C83" s="4"/>
      <c r="D83" s="4"/>
      <c r="E83" s="4"/>
      <c r="F83" s="4"/>
      <c r="G83" s="4"/>
      <c r="H83" s="4"/>
      <c r="I83" s="4"/>
      <c r="J83" s="4"/>
      <c r="K83" s="4"/>
      <c r="L83" s="18"/>
      <c r="M83" s="18"/>
      <c r="N83" s="18"/>
    </row>
    <row r="84" spans="1:14" s="6" customFormat="1" x14ac:dyDescent="0.25">
      <c r="B84" s="4"/>
      <c r="C84" s="4"/>
      <c r="D84" s="4"/>
      <c r="E84" s="4"/>
      <c r="F84" s="4"/>
      <c r="G84" s="4"/>
      <c r="H84" s="4"/>
      <c r="I84" s="4"/>
      <c r="J84" s="4"/>
      <c r="K84" s="4"/>
      <c r="L84" s="1"/>
      <c r="M84" s="1"/>
      <c r="N84" s="1"/>
    </row>
    <row r="85" spans="1:14" s="6" customFormat="1" x14ac:dyDescent="0.25">
      <c r="A85" s="1" t="s">
        <v>104</v>
      </c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4" s="1" customFormat="1" x14ac:dyDescent="0.25">
      <c r="A86" s="17" t="s">
        <v>63</v>
      </c>
      <c r="B86" s="12">
        <v>42460</v>
      </c>
      <c r="C86" s="12">
        <v>42825</v>
      </c>
      <c r="D86" s="12">
        <v>43190</v>
      </c>
      <c r="E86" s="12">
        <v>43555</v>
      </c>
      <c r="F86" s="12">
        <v>43921</v>
      </c>
      <c r="G86" s="12">
        <v>44286</v>
      </c>
      <c r="H86" s="12">
        <v>44651</v>
      </c>
      <c r="I86" s="12">
        <v>45016</v>
      </c>
      <c r="J86" s="12">
        <v>45382</v>
      </c>
      <c r="K86" s="12">
        <v>45747</v>
      </c>
      <c r="L86" s="6"/>
      <c r="M86" s="6"/>
      <c r="N86" s="6"/>
    </row>
    <row r="87" spans="1:14" x14ac:dyDescent="0.25">
      <c r="A87" s="6" t="s">
        <v>105</v>
      </c>
      <c r="B87">
        <v>-382.39</v>
      </c>
      <c r="C87">
        <v>4113.51</v>
      </c>
      <c r="D87">
        <v>1751.19</v>
      </c>
      <c r="E87">
        <v>1665.97</v>
      </c>
      <c r="F87">
        <v>1468.84</v>
      </c>
      <c r="G87">
        <v>1821.76</v>
      </c>
      <c r="H87">
        <v>367.31</v>
      </c>
      <c r="I87">
        <v>1897.24</v>
      </c>
      <c r="J87">
        <v>3648.36</v>
      </c>
      <c r="K87">
        <v>2999.94</v>
      </c>
      <c r="L87" s="1"/>
      <c r="M87" s="1"/>
      <c r="N87" s="1"/>
    </row>
    <row r="88" spans="1:14" x14ac:dyDescent="0.25">
      <c r="A88" s="6" t="s">
        <v>106</v>
      </c>
      <c r="B88">
        <v>-6768.83</v>
      </c>
      <c r="C88">
        <v>-2527.44</v>
      </c>
      <c r="D88">
        <v>469.87</v>
      </c>
      <c r="E88">
        <v>-3282.47</v>
      </c>
      <c r="F88">
        <v>1106.99</v>
      </c>
      <c r="G88">
        <v>-1239.58</v>
      </c>
      <c r="H88">
        <v>1292.23</v>
      </c>
      <c r="I88">
        <v>-1286.77</v>
      </c>
      <c r="J88">
        <v>-1712.2</v>
      </c>
      <c r="K88">
        <v>-4171.8900000000003</v>
      </c>
    </row>
    <row r="89" spans="1:14" x14ac:dyDescent="0.25">
      <c r="A89" s="6" t="s">
        <v>107</v>
      </c>
      <c r="B89">
        <v>5836.38</v>
      </c>
      <c r="C89">
        <v>433.18</v>
      </c>
      <c r="D89">
        <v>-1492.09</v>
      </c>
      <c r="E89">
        <v>744.13</v>
      </c>
      <c r="F89">
        <v>-890.58</v>
      </c>
      <c r="G89">
        <v>-1885.27</v>
      </c>
      <c r="H89">
        <v>-1572.32</v>
      </c>
      <c r="I89">
        <v>-337.25</v>
      </c>
      <c r="J89">
        <v>-2184.21</v>
      </c>
      <c r="K89">
        <v>1731.88</v>
      </c>
    </row>
    <row r="90" spans="1:14" x14ac:dyDescent="0.25">
      <c r="A90" s="6" t="s">
        <v>108</v>
      </c>
      <c r="B90">
        <v>-1314.84</v>
      </c>
      <c r="C90">
        <v>2019.25</v>
      </c>
      <c r="D90">
        <v>728.97</v>
      </c>
      <c r="E90">
        <v>-872.37</v>
      </c>
      <c r="F90">
        <v>1685.25</v>
      </c>
      <c r="G90">
        <v>-1303.0899999999999</v>
      </c>
      <c r="H90">
        <v>87.22</v>
      </c>
      <c r="I90">
        <v>273.22000000000003</v>
      </c>
      <c r="J90">
        <v>-248.05</v>
      </c>
      <c r="K90">
        <v>559.92999999999995</v>
      </c>
    </row>
    <row r="91" spans="1:14" s="1" customFormat="1" x14ac:dyDescent="0.25">
      <c r="A91" s="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25">
      <c r="A92" s="6"/>
      <c r="L92" s="1"/>
      <c r="M92" s="1"/>
      <c r="N92" s="1"/>
    </row>
    <row r="93" spans="1:14" s="1" customFormat="1" x14ac:dyDescent="0.25">
      <c r="A93" s="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25">
      <c r="A94" s="6"/>
      <c r="L94" s="1"/>
      <c r="M94" s="1"/>
      <c r="N94" s="1"/>
    </row>
    <row r="95" spans="1:14" x14ac:dyDescent="0.25">
      <c r="A95" s="1" t="s">
        <v>109</v>
      </c>
      <c r="B95">
        <v>1479.25</v>
      </c>
      <c r="C95">
        <v>1445.2</v>
      </c>
      <c r="D95">
        <v>735.85</v>
      </c>
      <c r="E95">
        <v>739.6</v>
      </c>
      <c r="F95">
        <v>589.65</v>
      </c>
      <c r="G95">
        <v>1020.45</v>
      </c>
      <c r="H95">
        <v>747.05</v>
      </c>
      <c r="I95">
        <v>648.4</v>
      </c>
      <c r="J95">
        <v>1616.8</v>
      </c>
      <c r="K95">
        <v>2027.95</v>
      </c>
    </row>
    <row r="97" spans="1:11" x14ac:dyDescent="0.25">
      <c r="A97" s="1" t="s">
        <v>110</v>
      </c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4" t="s">
        <v>111</v>
      </c>
      <c r="B98" s="24">
        <v>45.06</v>
      </c>
      <c r="C98" s="24">
        <v>45.16</v>
      </c>
      <c r="D98" s="24">
        <v>45.21</v>
      </c>
      <c r="E98" s="24">
        <v>45.25</v>
      </c>
      <c r="F98" s="24">
        <v>45.3</v>
      </c>
      <c r="G98" s="24">
        <v>45.37</v>
      </c>
      <c r="H98" s="24">
        <v>45.45</v>
      </c>
      <c r="I98" s="24">
        <v>45.5</v>
      </c>
      <c r="J98" s="24">
        <v>45.57</v>
      </c>
      <c r="K98" s="24">
        <v>45.66</v>
      </c>
    </row>
    <row r="100" spans="1:11" x14ac:dyDescent="0.25">
      <c r="A100" s="4" t="s">
        <v>112</v>
      </c>
      <c r="C100" s="4">
        <f t="shared" ref="C100:K100" si="4">C17*2/(C71+B71)</f>
        <v>0.71602397908416326</v>
      </c>
      <c r="D100" s="4">
        <f t="shared" si="4"/>
        <v>0.60485776228799504</v>
      </c>
      <c r="E100" s="4">
        <f t="shared" si="4"/>
        <v>0.54636003020811474</v>
      </c>
      <c r="F100" s="4">
        <f t="shared" si="4"/>
        <v>0.5860329864535645</v>
      </c>
      <c r="G100" s="4">
        <f t="shared" si="4"/>
        <v>0.62864976346280244</v>
      </c>
      <c r="H100" s="4">
        <f t="shared" si="4"/>
        <v>0.72781074014034952</v>
      </c>
      <c r="I100" s="4">
        <f t="shared" si="4"/>
        <v>0.74875128706910876</v>
      </c>
      <c r="J100" s="4">
        <f t="shared" si="4"/>
        <v>0.8597265958047835</v>
      </c>
      <c r="K100" s="4">
        <f t="shared" si="4"/>
        <v>0.86129318195524429</v>
      </c>
    </row>
    <row r="102" spans="1:11" ht="45" x14ac:dyDescent="0.25">
      <c r="F102" s="27" t="s">
        <v>113</v>
      </c>
      <c r="G102" s="4">
        <f>AVERAGE(G100:K100)</f>
        <v>0.76524631368645779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K5" activePane="bottomRight" state="frozen"/>
      <selection pane="topRight" activeCell="I2" sqref="I2"/>
      <selection pane="bottomLeft" activeCell="I2" sqref="I2"/>
      <selection pane="bottomRight" activeCell="K4" sqref="K4"/>
    </sheetView>
  </sheetViews>
  <sheetFormatPr defaultColWidth="8.85546875" defaultRowHeight="15" x14ac:dyDescent="0.25"/>
  <cols>
    <col min="1" max="1" width="20.7109375" customWidth="1"/>
    <col min="2" max="6" width="13.42578125" customWidth="1"/>
    <col min="7" max="7" width="14.85546875" bestFit="1" customWidth="1"/>
    <col min="8" max="11" width="13.42578125" customWidth="1"/>
    <col min="12" max="12" width="13.28515625" customWidth="1"/>
    <col min="13" max="14" width="12.140625" customWidth="1"/>
  </cols>
  <sheetData>
    <row r="1" spans="1:14" s="2" customFormat="1" x14ac:dyDescent="0.25">
      <c r="A1" s="2" t="str">
        <f>'Data Sheet'!B1</f>
        <v>LUPIN LTD</v>
      </c>
      <c r="H1" t="str">
        <f>UPDATE</f>
        <v/>
      </c>
      <c r="J1" s="3"/>
      <c r="K1" s="3"/>
      <c r="M1" s="2" t="s">
        <v>114</v>
      </c>
    </row>
    <row r="3" spans="1:14" s="2" customFormat="1" x14ac:dyDescent="0.25">
      <c r="A3" s="11" t="s">
        <v>115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116</v>
      </c>
      <c r="M3" s="13" t="s">
        <v>117</v>
      </c>
      <c r="N3" s="13" t="s">
        <v>118</v>
      </c>
    </row>
    <row r="4" spans="1:14" s="2" customFormat="1" x14ac:dyDescent="0.25">
      <c r="A4" s="2" t="s">
        <v>1</v>
      </c>
      <c r="B4" s="1">
        <f>'Data Sheet'!B17</f>
        <v>14255.54</v>
      </c>
      <c r="C4" s="1">
        <f>'Data Sheet'!C17</f>
        <v>17367.38</v>
      </c>
      <c r="D4" s="1">
        <f>'Data Sheet'!D17</f>
        <v>15796.55</v>
      </c>
      <c r="E4" s="1">
        <f>'Data Sheet'!E17</f>
        <v>14664.56</v>
      </c>
      <c r="F4" s="1">
        <f>'Data Sheet'!F17</f>
        <v>15374.76</v>
      </c>
      <c r="G4" s="1">
        <f>'Data Sheet'!G17</f>
        <v>15162.96</v>
      </c>
      <c r="H4" s="1">
        <f>'Data Sheet'!H17</f>
        <v>16405.48</v>
      </c>
      <c r="I4" s="1">
        <f>'Data Sheet'!I17</f>
        <v>16641.66</v>
      </c>
      <c r="J4" s="1">
        <f>'Data Sheet'!J17</f>
        <v>20010.82</v>
      </c>
      <c r="K4" s="1">
        <f>'Data Sheet'!K17</f>
        <v>22707.9</v>
      </c>
      <c r="L4" s="1">
        <f>SUM(Quarters!H4:K4)</f>
        <v>24750.690000000002</v>
      </c>
      <c r="M4" s="1">
        <f>$K4+M23*K4</f>
        <v>25768.495364507806</v>
      </c>
      <c r="N4" s="1">
        <f>$K4+N23*L4</f>
        <v>24021.940145288983</v>
      </c>
    </row>
    <row r="5" spans="1:14" x14ac:dyDescent="0.25">
      <c r="A5" t="s">
        <v>84</v>
      </c>
      <c r="B5" s="6">
        <f>SUM('Data Sheet'!B18,'Data Sheet'!B21:B25, -1*'Data Sheet'!B19)</f>
        <v>10564.47</v>
      </c>
      <c r="C5" s="6">
        <f>SUM('Data Sheet'!C18,'Data Sheet'!C21:C25, -1*'Data Sheet'!C19)</f>
        <v>12865.43</v>
      </c>
      <c r="D5" s="6">
        <f>SUM('Data Sheet'!D18,'Data Sheet'!D21:D25, -1*'Data Sheet'!D19)</f>
        <v>12649.039999999999</v>
      </c>
      <c r="E5" s="6">
        <f>SUM('Data Sheet'!E18,'Data Sheet'!E21:E25, -1*'Data Sheet'!E19)</f>
        <v>12103.839999999998</v>
      </c>
      <c r="F5" s="6">
        <f>SUM('Data Sheet'!F18,'Data Sheet'!F21:F25, -1*'Data Sheet'!F19)</f>
        <v>13019.96</v>
      </c>
      <c r="G5" s="6">
        <f>SUM('Data Sheet'!G18,'Data Sheet'!G21:G25, -1*'Data Sheet'!G19)</f>
        <v>12596.08</v>
      </c>
      <c r="H5" s="6">
        <f>SUM('Data Sheet'!H18,'Data Sheet'!H21:H25, -1*'Data Sheet'!H19)</f>
        <v>16186.660000000003</v>
      </c>
      <c r="I5" s="6">
        <f>SUM('Data Sheet'!I18,'Data Sheet'!I21:I25, -1*'Data Sheet'!I19)</f>
        <v>14921.09</v>
      </c>
      <c r="J5" s="6">
        <f>SUM('Data Sheet'!J18,'Data Sheet'!J21:J25, -1*'Data Sheet'!J19)</f>
        <v>16210.81</v>
      </c>
      <c r="K5" s="6">
        <f>SUM('Data Sheet'!K18,'Data Sheet'!K21:K25, -1*'Data Sheet'!K19)</f>
        <v>17430.38</v>
      </c>
      <c r="L5" s="6">
        <f>SUM(Quarters!H5:K5)</f>
        <v>18005.050000000003</v>
      </c>
      <c r="M5" s="6">
        <f t="shared" ref="M5:N5" si="0">M4-M6</f>
        <v>18745.459114987552</v>
      </c>
      <c r="N5" s="6">
        <f t="shared" si="0"/>
        <v>20433.317412193181</v>
      </c>
    </row>
    <row r="6" spans="1:14" s="2" customFormat="1" x14ac:dyDescent="0.25">
      <c r="A6" s="2" t="s">
        <v>86</v>
      </c>
      <c r="B6" s="1">
        <f>B4-B5</f>
        <v>3691.0700000000015</v>
      </c>
      <c r="C6" s="1">
        <f t="shared" ref="C6:K6" si="1">C4-C5</f>
        <v>4501.9500000000007</v>
      </c>
      <c r="D6" s="1">
        <f t="shared" si="1"/>
        <v>3147.51</v>
      </c>
      <c r="E6" s="1">
        <f t="shared" si="1"/>
        <v>2560.7200000000012</v>
      </c>
      <c r="F6" s="1">
        <f t="shared" si="1"/>
        <v>2354.8000000000011</v>
      </c>
      <c r="G6" s="1">
        <f t="shared" si="1"/>
        <v>2566.8799999999992</v>
      </c>
      <c r="H6" s="1">
        <f t="shared" si="1"/>
        <v>218.81999999999607</v>
      </c>
      <c r="I6" s="1">
        <f t="shared" si="1"/>
        <v>1720.5699999999997</v>
      </c>
      <c r="J6" s="1">
        <f t="shared" si="1"/>
        <v>3800.01</v>
      </c>
      <c r="K6" s="1">
        <f t="shared" si="1"/>
        <v>5277.52</v>
      </c>
      <c r="L6" s="1">
        <f>SUM(Quarters!H6:K6)</f>
        <v>6745.64</v>
      </c>
      <c r="M6" s="1">
        <f>M4*M24</f>
        <v>7023.0362495202526</v>
      </c>
      <c r="N6" s="1">
        <f>N4*N24</f>
        <v>3588.6227330958031</v>
      </c>
    </row>
    <row r="7" spans="1:14" x14ac:dyDescent="0.25">
      <c r="A7" t="s">
        <v>72</v>
      </c>
      <c r="B7" s="6">
        <f>'Data Sheet'!B26</f>
        <v>184.37</v>
      </c>
      <c r="C7" s="6">
        <f>'Data Sheet'!C26</f>
        <v>105.95</v>
      </c>
      <c r="D7" s="6">
        <f>'Data Sheet'!D26</f>
        <v>-1310.48</v>
      </c>
      <c r="E7" s="6">
        <f>'Data Sheet'!E26</f>
        <v>91.24</v>
      </c>
      <c r="F7" s="6">
        <f>'Data Sheet'!F26</f>
        <v>-134.27000000000001</v>
      </c>
      <c r="G7" s="6">
        <f>'Data Sheet'!G26</f>
        <v>137.62</v>
      </c>
      <c r="H7" s="6">
        <f>'Data Sheet'!H26</f>
        <v>210.45</v>
      </c>
      <c r="I7" s="6">
        <f>'Data Sheet'!I26</f>
        <v>150.91</v>
      </c>
      <c r="J7" s="6">
        <f>'Data Sheet'!J26</f>
        <v>130.68</v>
      </c>
      <c r="K7" s="6">
        <f>'Data Sheet'!K26</f>
        <v>201.61</v>
      </c>
      <c r="L7" s="6">
        <f>SUM(Quarters!H7:K7)</f>
        <v>279.7</v>
      </c>
      <c r="M7" s="6">
        <v>0</v>
      </c>
      <c r="N7" s="6">
        <v>0</v>
      </c>
    </row>
    <row r="8" spans="1:14" x14ac:dyDescent="0.25">
      <c r="A8" t="s">
        <v>73</v>
      </c>
      <c r="B8" s="6">
        <f>'Data Sheet'!B28</f>
        <v>487.13</v>
      </c>
      <c r="C8" s="6">
        <f>'Data Sheet'!C28</f>
        <v>912.23</v>
      </c>
      <c r="D8" s="6">
        <f>'Data Sheet'!D28</f>
        <v>1085.8699999999999</v>
      </c>
      <c r="E8" s="6">
        <f>'Data Sheet'!E28</f>
        <v>846.05</v>
      </c>
      <c r="F8" s="6">
        <f>'Data Sheet'!F28</f>
        <v>970.22</v>
      </c>
      <c r="G8" s="6">
        <f>'Data Sheet'!G28</f>
        <v>887.41</v>
      </c>
      <c r="H8" s="6">
        <f>'Data Sheet'!H28</f>
        <v>1658.71</v>
      </c>
      <c r="I8" s="6">
        <f>'Data Sheet'!I28</f>
        <v>880.69</v>
      </c>
      <c r="J8" s="6">
        <f>'Data Sheet'!J28</f>
        <v>1196.81</v>
      </c>
      <c r="K8" s="6">
        <f>'Data Sheet'!K28</f>
        <v>1169.26</v>
      </c>
      <c r="L8" s="6">
        <f>SUM(Quarters!H8:K8)</f>
        <v>1280.3800000000001</v>
      </c>
      <c r="M8" s="6">
        <f>+$L8</f>
        <v>1280.3800000000001</v>
      </c>
      <c r="N8" s="6">
        <f>+$L8</f>
        <v>1280.3800000000001</v>
      </c>
    </row>
    <row r="9" spans="1:14" x14ac:dyDescent="0.25">
      <c r="A9" t="s">
        <v>74</v>
      </c>
      <c r="B9" s="6">
        <f>'Data Sheet'!B29</f>
        <v>59.47</v>
      </c>
      <c r="C9" s="6">
        <f>'Data Sheet'!C29</f>
        <v>152.53</v>
      </c>
      <c r="D9" s="6">
        <f>'Data Sheet'!D29</f>
        <v>204.35</v>
      </c>
      <c r="E9" s="6">
        <f>'Data Sheet'!E29</f>
        <v>302.49</v>
      </c>
      <c r="F9" s="6">
        <f>'Data Sheet'!F29</f>
        <v>362.98</v>
      </c>
      <c r="G9" s="6">
        <f>'Data Sheet'!G29</f>
        <v>140.63999999999999</v>
      </c>
      <c r="H9" s="6">
        <f>'Data Sheet'!H29</f>
        <v>142.77000000000001</v>
      </c>
      <c r="I9" s="6">
        <f>'Data Sheet'!I29</f>
        <v>274.3</v>
      </c>
      <c r="J9" s="6">
        <f>'Data Sheet'!J29</f>
        <v>311.61</v>
      </c>
      <c r="K9" s="6">
        <f>'Data Sheet'!K29</f>
        <v>294.87</v>
      </c>
      <c r="L9" s="6">
        <f>SUM(Quarters!H9:K9)</f>
        <v>355.34000000000003</v>
      </c>
      <c r="M9" s="6">
        <f>+$L9</f>
        <v>355.34000000000003</v>
      </c>
      <c r="N9" s="6">
        <f>+$L9</f>
        <v>355.34000000000003</v>
      </c>
    </row>
    <row r="10" spans="1:14" x14ac:dyDescent="0.25">
      <c r="A10" t="s">
        <v>76</v>
      </c>
      <c r="B10" s="6">
        <f>'Data Sheet'!B31</f>
        <v>3328.84</v>
      </c>
      <c r="C10" s="6">
        <f>'Data Sheet'!C31</f>
        <v>3543.14</v>
      </c>
      <c r="D10" s="6">
        <f>'Data Sheet'!D31</f>
        <v>546.80999999999995</v>
      </c>
      <c r="E10" s="6">
        <f>'Data Sheet'!E31</f>
        <v>1503.42</v>
      </c>
      <c r="F10" s="6">
        <f>'Data Sheet'!F31</f>
        <v>887.33</v>
      </c>
      <c r="G10" s="6">
        <f>'Data Sheet'!G31</f>
        <v>1676.45</v>
      </c>
      <c r="H10" s="6">
        <f>'Data Sheet'!H31</f>
        <v>-1372.21</v>
      </c>
      <c r="I10" s="6">
        <f>'Data Sheet'!I31</f>
        <v>716.49</v>
      </c>
      <c r="J10" s="6">
        <f>'Data Sheet'!J31</f>
        <v>2422.27</v>
      </c>
      <c r="K10" s="6">
        <f>'Data Sheet'!K31</f>
        <v>4015</v>
      </c>
      <c r="L10" s="6">
        <f>SUM(Quarters!H10:K10)</f>
        <v>5389.62</v>
      </c>
      <c r="M10" s="6">
        <f>M6+M7-SUM(M8:M9)</f>
        <v>5387.3162495202523</v>
      </c>
      <c r="N10" s="6">
        <f>N6+N7-SUM(N8:N9)</f>
        <v>1952.9027330958029</v>
      </c>
    </row>
    <row r="11" spans="1:14" x14ac:dyDescent="0.25">
      <c r="A11" t="s">
        <v>18</v>
      </c>
      <c r="B11" s="6">
        <f>'Data Sheet'!B32</f>
        <v>1059.3399999999999</v>
      </c>
      <c r="C11" s="6">
        <f>'Data Sheet'!C32</f>
        <v>978.51</v>
      </c>
      <c r="D11" s="6">
        <f>'Data Sheet'!D32</f>
        <v>288.45999999999998</v>
      </c>
      <c r="E11" s="6">
        <f>'Data Sheet'!E32</f>
        <v>887.94</v>
      </c>
      <c r="F11" s="6">
        <f>'Data Sheet'!F32</f>
        <v>1157.1099999999999</v>
      </c>
      <c r="G11" s="6">
        <f>'Data Sheet'!G32</f>
        <v>448.52</v>
      </c>
      <c r="H11" s="6">
        <f>'Data Sheet'!H32</f>
        <v>137.15</v>
      </c>
      <c r="I11" s="6">
        <f>'Data Sheet'!I32</f>
        <v>268.8</v>
      </c>
      <c r="J11" s="6">
        <f>'Data Sheet'!J32</f>
        <v>486.7</v>
      </c>
      <c r="K11" s="6">
        <f>'Data Sheet'!K32</f>
        <v>708.74</v>
      </c>
      <c r="L11" s="6">
        <f>SUM(Quarters!H11:K11)</f>
        <v>1042.0900000000001</v>
      </c>
      <c r="M11" s="7">
        <f>IF($L10&gt;0,$L11/$L10,0)</f>
        <v>0.19335129378323521</v>
      </c>
      <c r="N11" s="7">
        <f>IF($L10&gt;0,$L11/$L10,0)</f>
        <v>0.19335129378323521</v>
      </c>
    </row>
    <row r="12" spans="1:14" s="2" customFormat="1" x14ac:dyDescent="0.25">
      <c r="A12" s="2" t="s">
        <v>78</v>
      </c>
      <c r="B12" s="1">
        <f>'Data Sheet'!B34</f>
        <v>2260.7399999999998</v>
      </c>
      <c r="C12" s="1">
        <f>'Data Sheet'!C34</f>
        <v>2557.46</v>
      </c>
      <c r="D12" s="1">
        <f>'Data Sheet'!D34</f>
        <v>251.26</v>
      </c>
      <c r="E12" s="1">
        <f>'Data Sheet'!E34</f>
        <v>606.54999999999995</v>
      </c>
      <c r="F12" s="1">
        <f>'Data Sheet'!F34</f>
        <v>-269.39</v>
      </c>
      <c r="G12" s="1">
        <f>'Data Sheet'!G34</f>
        <v>1216.53</v>
      </c>
      <c r="H12" s="1">
        <f>'Data Sheet'!H34</f>
        <v>-1528.04</v>
      </c>
      <c r="I12" s="1">
        <f>'Data Sheet'!I34</f>
        <v>430.08</v>
      </c>
      <c r="J12" s="1">
        <f>'Data Sheet'!J34</f>
        <v>1914.48</v>
      </c>
      <c r="K12" s="1">
        <f>'Data Sheet'!K34</f>
        <v>3281.62</v>
      </c>
      <c r="L12" s="1">
        <f>SUM(Quarters!H12:K12)</f>
        <v>4324.63</v>
      </c>
      <c r="M12" s="1">
        <f>M10-M11*M10</f>
        <v>4345.6716826560651</v>
      </c>
      <c r="N12" s="1">
        <f>N10-N11*N10</f>
        <v>1575.3064630189133</v>
      </c>
    </row>
    <row r="13" spans="1:14" x14ac:dyDescent="0.25">
      <c r="A13" t="s">
        <v>119</v>
      </c>
      <c r="B13" s="6">
        <f>IF('Data Sheet'!B98&gt;0,B12/'Data Sheet'!B98,0)</f>
        <v>50.17177097203728</v>
      </c>
      <c r="C13" s="6">
        <f>IF('Data Sheet'!C98&gt;0,C12/'Data Sheet'!C98,0)</f>
        <v>56.631089459698856</v>
      </c>
      <c r="D13" s="6">
        <f>IF('Data Sheet'!D98&gt;0,D12/'Data Sheet'!D98,0)</f>
        <v>5.5576199955762</v>
      </c>
      <c r="E13" s="6">
        <f>IF('Data Sheet'!E98&gt;0,E12/'Data Sheet'!E98,0)</f>
        <v>13.404419889502762</v>
      </c>
      <c r="F13" s="6">
        <f>IF('Data Sheet'!F98&gt;0,F12/'Data Sheet'!F98,0)</f>
        <v>-5.9467991169977923</v>
      </c>
      <c r="G13" s="6">
        <f>IF('Data Sheet'!G98&gt;0,G12/'Data Sheet'!G98,0)</f>
        <v>26.813533171699362</v>
      </c>
      <c r="H13" s="6">
        <f>IF('Data Sheet'!H98&gt;0,H12/'Data Sheet'!H98,0)</f>
        <v>-33.620242024202419</v>
      </c>
      <c r="I13" s="6">
        <f>IF('Data Sheet'!I98&gt;0,I12/'Data Sheet'!I98,0)</f>
        <v>9.4523076923076914</v>
      </c>
      <c r="J13" s="6">
        <f>IF('Data Sheet'!J98&gt;0,J12/'Data Sheet'!J98,0)</f>
        <v>42.01184990125082</v>
      </c>
      <c r="K13" s="6">
        <f>IF('Data Sheet'!K98&gt;0,K12/'Data Sheet'!K98,0)</f>
        <v>71.870784056066583</v>
      </c>
      <c r="L13" s="6">
        <f>IF('Data Sheet'!$B6&gt;0,'Profit &amp; Loss'!L12/'Data Sheet'!$B6,0)</f>
        <v>94.672522435892077</v>
      </c>
      <c r="M13" s="6">
        <f>IF('Data Sheet'!$B6&gt;0,'Profit &amp; Loss'!M12/'Data Sheet'!$B6,0)</f>
        <v>95.133155871202206</v>
      </c>
      <c r="N13" s="6">
        <f>IF('Data Sheet'!$B6&gt;0,'Profit &amp; Loss'!N12/'Data Sheet'!$B6,0)</f>
        <v>34.485779468662955</v>
      </c>
    </row>
    <row r="14" spans="1:14" x14ac:dyDescent="0.25">
      <c r="A14" t="s">
        <v>120</v>
      </c>
      <c r="B14" s="6">
        <f>IF(B15&gt;0,B15/B13,"")</f>
        <v>29.483711085750684</v>
      </c>
      <c r="C14" s="6">
        <f t="shared" ref="C14:K14" si="2">IF(C15&gt;0,C15/C13,"")</f>
        <v>25.519551429934385</v>
      </c>
      <c r="D14" s="6">
        <f t="shared" si="2"/>
        <v>132.40379885377698</v>
      </c>
      <c r="E14" s="6">
        <f t="shared" si="2"/>
        <v>55.175830516857644</v>
      </c>
      <c r="F14" s="6">
        <f t="shared" si="2"/>
        <v>-99.154181669698204</v>
      </c>
      <c r="G14" s="6">
        <f t="shared" si="2"/>
        <v>38.057274789770908</v>
      </c>
      <c r="H14" s="6">
        <f t="shared" si="2"/>
        <v>-22.220244561660689</v>
      </c>
      <c r="I14" s="6">
        <f t="shared" si="2"/>
        <v>68.597005208333343</v>
      </c>
      <c r="J14" s="6">
        <f t="shared" si="2"/>
        <v>38.484380092766706</v>
      </c>
      <c r="K14" s="6">
        <f t="shared" si="2"/>
        <v>28.216611612557212</v>
      </c>
      <c r="L14" s="6">
        <f t="shared" ref="L14" si="3">IF(L13&gt;0,L15/L13,0)</f>
        <v>22.171163775860595</v>
      </c>
      <c r="M14" s="6">
        <f>M25</f>
        <v>39.367290172379469</v>
      </c>
      <c r="N14" s="6">
        <f>N25</f>
        <v>22.171163775860595</v>
      </c>
    </row>
    <row r="15" spans="1:14" s="2" customFormat="1" x14ac:dyDescent="0.25">
      <c r="A15" s="2" t="s">
        <v>121</v>
      </c>
      <c r="B15" s="1">
        <f>'Data Sheet'!B95</f>
        <v>1479.25</v>
      </c>
      <c r="C15" s="1">
        <f>'Data Sheet'!C95</f>
        <v>1445.2</v>
      </c>
      <c r="D15" s="1">
        <f>'Data Sheet'!D95</f>
        <v>735.85</v>
      </c>
      <c r="E15" s="1">
        <f>'Data Sheet'!E95</f>
        <v>739.6</v>
      </c>
      <c r="F15" s="1">
        <f>'Data Sheet'!F95</f>
        <v>589.65</v>
      </c>
      <c r="G15" s="1">
        <f>'Data Sheet'!G95</f>
        <v>1020.45</v>
      </c>
      <c r="H15" s="1">
        <f>'Data Sheet'!H95</f>
        <v>747.05</v>
      </c>
      <c r="I15" s="1">
        <f>'Data Sheet'!I95</f>
        <v>648.4</v>
      </c>
      <c r="J15" s="1">
        <f>'Data Sheet'!J95</f>
        <v>1616.8</v>
      </c>
      <c r="K15" s="1">
        <f>'Data Sheet'!K95</f>
        <v>2027.95</v>
      </c>
      <c r="L15" s="1">
        <f>'Data Sheet'!B8</f>
        <v>2099</v>
      </c>
      <c r="M15" s="8">
        <f>M13*M14</f>
        <v>3745.1345521958228</v>
      </c>
      <c r="N15" s="9">
        <f>N13*N14</f>
        <v>764.58986453793716</v>
      </c>
    </row>
    <row r="17" spans="1:14" s="2" customFormat="1" x14ac:dyDescent="0.25">
      <c r="A17" s="2" t="s">
        <v>122</v>
      </c>
    </row>
    <row r="18" spans="1:14" x14ac:dyDescent="0.25">
      <c r="A18" t="s">
        <v>123</v>
      </c>
      <c r="B18" s="5">
        <f>IF('Data Sheet'!B34&gt;0, 'Data Sheet'!B35/'Data Sheet'!B34, 0)</f>
        <v>0.14948645133894212</v>
      </c>
      <c r="C18" s="5">
        <f>IF('Data Sheet'!C34&gt;0, 'Data Sheet'!C35/'Data Sheet'!C34, 0)</f>
        <v>0.13243608893198719</v>
      </c>
      <c r="D18" s="5">
        <f>IF('Data Sheet'!D34&gt;0, 'Data Sheet'!D35/'Data Sheet'!D34, 0)</f>
        <v>0.89966568494786281</v>
      </c>
      <c r="E18" s="5">
        <f>IF('Data Sheet'!E34&gt;0, 'Data Sheet'!E35/'Data Sheet'!E34, 0)</f>
        <v>0.37301129338059519</v>
      </c>
      <c r="F18" s="5">
        <f>IF('Data Sheet'!F34&gt;0, 'Data Sheet'!F35/'Data Sheet'!F34, 0)</f>
        <v>0</v>
      </c>
      <c r="G18" s="5">
        <f>IF('Data Sheet'!G34&gt;0, 'Data Sheet'!G35/'Data Sheet'!G34, 0)</f>
        <v>0.24241079134916524</v>
      </c>
      <c r="H18" s="5">
        <f>IF('Data Sheet'!H34&gt;0, 'Data Sheet'!H35/'Data Sheet'!H34, 0)</f>
        <v>0</v>
      </c>
      <c r="I18" s="5">
        <f>IF('Data Sheet'!I34&gt;0, 'Data Sheet'!I35/'Data Sheet'!I34, 0)</f>
        <v>0.42317708333333337</v>
      </c>
      <c r="J18" s="5">
        <f>IF('Data Sheet'!J34&gt;0, 'Data Sheet'!J35/'Data Sheet'!J34, 0)</f>
        <v>0.19042246458568385</v>
      </c>
      <c r="K18" s="5">
        <f>IF('Data Sheet'!K34&gt;0, 'Data Sheet'!K35/'Data Sheet'!K34, 0)</f>
        <v>0.1669663154173853</v>
      </c>
    </row>
    <row r="19" spans="1:14" x14ac:dyDescent="0.25">
      <c r="A19" t="s">
        <v>124</v>
      </c>
      <c r="B19" s="5">
        <f t="shared" ref="B19:L19" si="4">IF(B6&gt;0,B6/B4,0)</f>
        <v>0.25892179461458503</v>
      </c>
      <c r="C19" s="5">
        <f t="shared" ref="C19:K19" si="5">IF(C6&gt;0,C6/C4,0)</f>
        <v>0.25921871923111028</v>
      </c>
      <c r="D19" s="5">
        <f t="shared" si="5"/>
        <v>0.19925300144651842</v>
      </c>
      <c r="E19" s="5">
        <f t="shared" si="5"/>
        <v>0.17461962718281362</v>
      </c>
      <c r="F19" s="5">
        <f t="shared" si="5"/>
        <v>0.15316011436926502</v>
      </c>
      <c r="G19" s="5">
        <f t="shared" si="5"/>
        <v>0.16928620796994778</v>
      </c>
      <c r="H19" s="5">
        <f t="shared" si="5"/>
        <v>1.3338226007407042E-2</v>
      </c>
      <c r="I19" s="5">
        <f t="shared" si="5"/>
        <v>0.10338932534374574</v>
      </c>
      <c r="J19" s="5">
        <f t="shared" si="5"/>
        <v>0.18989776530896788</v>
      </c>
      <c r="K19" s="5">
        <f t="shared" si="5"/>
        <v>0.23240898541917129</v>
      </c>
      <c r="L19" s="5">
        <f t="shared" si="4"/>
        <v>0.2725435129283264</v>
      </c>
    </row>
    <row r="20" spans="1:14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2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25">
      <c r="A22" s="11"/>
      <c r="B22" s="12"/>
      <c r="C22" s="12"/>
      <c r="D22" s="12"/>
      <c r="E22" s="12"/>
      <c r="F22" s="12"/>
      <c r="G22" s="12" t="s">
        <v>125</v>
      </c>
      <c r="H22" s="12" t="s">
        <v>126</v>
      </c>
      <c r="I22" s="12" t="s">
        <v>127</v>
      </c>
      <c r="J22" s="12" t="s">
        <v>128</v>
      </c>
      <c r="K22" s="12" t="s">
        <v>129</v>
      </c>
      <c r="L22" s="13" t="s">
        <v>130</v>
      </c>
      <c r="M22" s="13" t="s">
        <v>131</v>
      </c>
      <c r="N22" s="13" t="s">
        <v>132</v>
      </c>
    </row>
    <row r="23" spans="1:14" s="2" customFormat="1" x14ac:dyDescent="0.25">
      <c r="A23"/>
      <c r="B23"/>
      <c r="C23"/>
      <c r="D23"/>
      <c r="E23"/>
      <c r="F23"/>
      <c r="G23" t="s">
        <v>133</v>
      </c>
      <c r="H23" s="5">
        <f>IF(B4=0,"",POWER($K4/B4,1/9)-1)</f>
        <v>5.3091051008637757E-2</v>
      </c>
      <c r="I23" s="5">
        <f>IF(D4=0,"",POWER($K4/D4,1/7)-1)</f>
        <v>5.3213432797750704E-2</v>
      </c>
      <c r="J23" s="5">
        <f>IF(F4=0,"",POWER($K4/F4,1/5)-1)</f>
        <v>8.1119561852668332E-2</v>
      </c>
      <c r="K23" s="5">
        <f>IF(H4=0,"",POWER($K4/H4, 1/3)-1)</f>
        <v>0.11445535947614216</v>
      </c>
      <c r="L23" s="5">
        <f>IF(ISERROR(MAX(IF(J4=0,"",(K4-J4)/J4),IF(K4=0,"",(L4-K4)/K4))),"",MAX(IF(J4=0,"",(K4-J4)/J4),IF(K4=0,"",(L4-K4)/K4)))</f>
        <v>0.13478108343386236</v>
      </c>
      <c r="M23" s="16">
        <f>MAX(K23:L23)</f>
        <v>0.13478108343386236</v>
      </c>
      <c r="N23" s="16">
        <f>MIN(H23:L23)</f>
        <v>5.3091051008637757E-2</v>
      </c>
    </row>
    <row r="24" spans="1:14" x14ac:dyDescent="0.25">
      <c r="G24" t="s">
        <v>124</v>
      </c>
      <c r="H24" s="5">
        <f>IF(SUM(B4:$K$4)=0,"",SUMPRODUCT(B19:$K$19,B4:$K$4)/SUM(B4:$K$4))</f>
        <v>0.17720929704982455</v>
      </c>
      <c r="I24" s="5">
        <f>IF(SUM(E4:$K$4)=0,"",SUMPRODUCT(E19:$K$19,E4:$K$4)/SUM(E4:$K$4))</f>
        <v>0.15292720876753169</v>
      </c>
      <c r="J24" s="5">
        <f>IF(SUM(G4:$K$4)=0,"",SUMPRODUCT(G19:$K$19,G4:$K$4)/SUM(G4:$K$4))</f>
        <v>0.14938937951685718</v>
      </c>
      <c r="K24" s="5">
        <f>IF(SUM(I4:$K$4)=0, "", SUMPRODUCT(I19:$K$19,I4:$K$4)/SUM(I4:$K$4))</f>
        <v>0.18190752822000131</v>
      </c>
      <c r="L24" s="5">
        <f>L19</f>
        <v>0.2725435129283264</v>
      </c>
      <c r="M24" s="16">
        <f>MAX(K24:L24)</f>
        <v>0.2725435129283264</v>
      </c>
      <c r="N24" s="16">
        <f>MIN(H24:L24)</f>
        <v>0.14938937951685718</v>
      </c>
    </row>
    <row r="25" spans="1:14" x14ac:dyDescent="0.25">
      <c r="G25" t="s">
        <v>134</v>
      </c>
      <c r="H25" s="6">
        <f>IF(ISERROR(AVERAGEIF(B14:$L14,"&gt;0")),"",AVERAGEIF(B14:$L14,"&gt;0"))</f>
        <v>48.678814151734258</v>
      </c>
      <c r="I25" s="6">
        <f>IF(ISERROR(AVERAGEIF(E14:$L14,"&gt;0")),"",AVERAGEIF(E14:$L14,"&gt;0"))</f>
        <v>41.783710999357737</v>
      </c>
      <c r="J25" s="6">
        <f>IF(ISERROR(AVERAGEIF(G14:$L14,"&gt;0")),"",AVERAGEIF(G14:$L14,"&gt;0"))</f>
        <v>39.105287095857754</v>
      </c>
      <c r="K25" s="6">
        <f>IF(ISERROR(AVERAGEIF(I14:$L14,"&gt;0")),"",AVERAGEIF(I14:$L14,"&gt;0"))</f>
        <v>39.367290172379469</v>
      </c>
      <c r="L25" s="6">
        <f>L14</f>
        <v>22.171163775860595</v>
      </c>
      <c r="M25" s="1">
        <f>MAX(K25:L25)</f>
        <v>39.367290172379469</v>
      </c>
      <c r="N25" s="1">
        <f>MIN(H25:L25)</f>
        <v>22.171163775860595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0.7109375" customWidth="1"/>
    <col min="2" max="11" width="13.42578125" bestFit="1" customWidth="1"/>
  </cols>
  <sheetData>
    <row r="1" spans="1:11" s="2" customFormat="1" x14ac:dyDescent="0.25">
      <c r="A1" s="2" t="str">
        <f>'Profit &amp; Loss'!A1</f>
        <v>LUPIN LTD</v>
      </c>
      <c r="E1" t="str">
        <f>UPDATE</f>
        <v/>
      </c>
      <c r="J1" s="2" t="s">
        <v>114</v>
      </c>
    </row>
    <row r="3" spans="1:11" s="2" customFormat="1" x14ac:dyDescent="0.25">
      <c r="A3" s="11" t="s">
        <v>115</v>
      </c>
      <c r="B3" s="12">
        <f>'Data Sheet'!B45</f>
        <v>45107</v>
      </c>
      <c r="C3" s="12">
        <f>'Data Sheet'!C45</f>
        <v>45199</v>
      </c>
      <c r="D3" s="12">
        <f>'Data Sheet'!D45</f>
        <v>45291</v>
      </c>
      <c r="E3" s="12">
        <f>'Data Sheet'!E45</f>
        <v>45382</v>
      </c>
      <c r="F3" s="12">
        <f>'Data Sheet'!F45</f>
        <v>45473</v>
      </c>
      <c r="G3" s="12">
        <f>'Data Sheet'!G45</f>
        <v>45565</v>
      </c>
      <c r="H3" s="12">
        <f>'Data Sheet'!H45</f>
        <v>45657</v>
      </c>
      <c r="I3" s="12">
        <f>'Data Sheet'!I45</f>
        <v>45747</v>
      </c>
      <c r="J3" s="12">
        <f>'Data Sheet'!J45</f>
        <v>45838</v>
      </c>
      <c r="K3" s="12">
        <f>'Data Sheet'!K45</f>
        <v>45930</v>
      </c>
    </row>
    <row r="4" spans="1:11" s="2" customFormat="1" x14ac:dyDescent="0.25">
      <c r="A4" s="2" t="s">
        <v>1</v>
      </c>
      <c r="B4" s="1">
        <f>'Data Sheet'!B46</f>
        <v>4814.0600000000004</v>
      </c>
      <c r="C4" s="1">
        <f>'Data Sheet'!C46</f>
        <v>5038.5600000000004</v>
      </c>
      <c r="D4" s="1">
        <f>'Data Sheet'!D46</f>
        <v>5197.41</v>
      </c>
      <c r="E4" s="1">
        <f>'Data Sheet'!E46</f>
        <v>4960.79</v>
      </c>
      <c r="F4" s="1">
        <f>'Data Sheet'!F46</f>
        <v>5600.33</v>
      </c>
      <c r="G4" s="1">
        <f>'Data Sheet'!G46</f>
        <v>5672.73</v>
      </c>
      <c r="H4" s="1">
        <f>'Data Sheet'!H46</f>
        <v>5767.71</v>
      </c>
      <c r="I4" s="1">
        <f>'Data Sheet'!I46</f>
        <v>5667.13</v>
      </c>
      <c r="J4" s="1">
        <f>'Data Sheet'!J46</f>
        <v>6268.34</v>
      </c>
      <c r="K4" s="1">
        <f>'Data Sheet'!K46</f>
        <v>7047.51</v>
      </c>
    </row>
    <row r="5" spans="1:11" x14ac:dyDescent="0.25">
      <c r="A5" t="s">
        <v>84</v>
      </c>
      <c r="B5" s="6">
        <f>'Data Sheet'!B47</f>
        <v>3957.77</v>
      </c>
      <c r="C5" s="6">
        <f>'Data Sheet'!C47</f>
        <v>4120.8</v>
      </c>
      <c r="D5" s="6">
        <f>'Data Sheet'!D47</f>
        <v>4159.47</v>
      </c>
      <c r="E5" s="6">
        <f>'Data Sheet'!E47</f>
        <v>3963.94</v>
      </c>
      <c r="F5" s="6">
        <f>'Data Sheet'!F47</f>
        <v>4359.3599999999997</v>
      </c>
      <c r="G5" s="6">
        <f>'Data Sheet'!G47</f>
        <v>4332.37</v>
      </c>
      <c r="H5" s="6">
        <f>'Data Sheet'!H47</f>
        <v>4411.8100000000004</v>
      </c>
      <c r="I5" s="6">
        <f>'Data Sheet'!I47</f>
        <v>4345.96</v>
      </c>
      <c r="J5" s="6">
        <f>'Data Sheet'!J47</f>
        <v>4541.1000000000004</v>
      </c>
      <c r="K5" s="6">
        <f>'Data Sheet'!K47</f>
        <v>4706.18</v>
      </c>
    </row>
    <row r="6" spans="1:11" s="2" customFormat="1" x14ac:dyDescent="0.25">
      <c r="A6" s="2" t="s">
        <v>86</v>
      </c>
      <c r="B6" s="1">
        <f>'Data Sheet'!B55</f>
        <v>856.29</v>
      </c>
      <c r="C6" s="1">
        <f>'Data Sheet'!C55</f>
        <v>917.76</v>
      </c>
      <c r="D6" s="1">
        <f>'Data Sheet'!D55</f>
        <v>1037.94</v>
      </c>
      <c r="E6" s="1">
        <f>'Data Sheet'!E55</f>
        <v>996.85</v>
      </c>
      <c r="F6" s="1">
        <f>'Data Sheet'!F55</f>
        <v>1240.97</v>
      </c>
      <c r="G6" s="1">
        <f>'Data Sheet'!G55</f>
        <v>1340.36</v>
      </c>
      <c r="H6" s="1">
        <f>'Data Sheet'!H55</f>
        <v>1355.9</v>
      </c>
      <c r="I6" s="1">
        <f>'Data Sheet'!I55</f>
        <v>1321.17</v>
      </c>
      <c r="J6" s="1">
        <f>'Data Sheet'!J55</f>
        <v>1727.24</v>
      </c>
      <c r="K6" s="1">
        <f>'Data Sheet'!K55</f>
        <v>2341.33</v>
      </c>
    </row>
    <row r="7" spans="1:11" x14ac:dyDescent="0.25">
      <c r="A7" t="s">
        <v>72</v>
      </c>
      <c r="B7" s="6">
        <f>'Data Sheet'!B48</f>
        <v>22.83</v>
      </c>
      <c r="C7" s="6">
        <f>'Data Sheet'!C48</f>
        <v>40.4</v>
      </c>
      <c r="D7" s="6">
        <f>'Data Sheet'!D48</f>
        <v>29.37</v>
      </c>
      <c r="E7" s="6">
        <f>'Data Sheet'!E48</f>
        <v>29.25</v>
      </c>
      <c r="F7" s="6">
        <f>'Data Sheet'!F48</f>
        <v>67.78</v>
      </c>
      <c r="G7" s="6">
        <f>'Data Sheet'!G48</f>
        <v>42.29</v>
      </c>
      <c r="H7" s="6">
        <f>'Data Sheet'!H48</f>
        <v>53.71</v>
      </c>
      <c r="I7" s="6">
        <f>'Data Sheet'!I48</f>
        <v>56.95</v>
      </c>
      <c r="J7" s="6">
        <f>'Data Sheet'!J48</f>
        <v>79.040000000000006</v>
      </c>
      <c r="K7" s="6">
        <f>'Data Sheet'!K48</f>
        <v>90</v>
      </c>
    </row>
    <row r="8" spans="1:11" x14ac:dyDescent="0.25">
      <c r="A8" t="s">
        <v>73</v>
      </c>
      <c r="B8" s="6">
        <f>'Data Sheet'!B49</f>
        <v>234.66</v>
      </c>
      <c r="C8" s="6">
        <f>'Data Sheet'!C49</f>
        <v>247.85</v>
      </c>
      <c r="D8" s="6">
        <f>'Data Sheet'!D49</f>
        <v>257.2</v>
      </c>
      <c r="E8" s="6">
        <f>'Data Sheet'!E49</f>
        <v>457.1</v>
      </c>
      <c r="F8" s="6">
        <f>'Data Sheet'!F49</f>
        <v>247.71</v>
      </c>
      <c r="G8" s="6">
        <f>'Data Sheet'!G49</f>
        <v>256.92</v>
      </c>
      <c r="H8" s="6">
        <f>'Data Sheet'!H49</f>
        <v>271.45</v>
      </c>
      <c r="I8" s="6">
        <f>'Data Sheet'!I49</f>
        <v>393.18</v>
      </c>
      <c r="J8" s="6">
        <f>'Data Sheet'!J49</f>
        <v>298.98</v>
      </c>
      <c r="K8" s="6">
        <f>'Data Sheet'!K49</f>
        <v>316.77</v>
      </c>
    </row>
    <row r="9" spans="1:11" x14ac:dyDescent="0.25">
      <c r="A9" t="s">
        <v>74</v>
      </c>
      <c r="B9" s="6">
        <f>'Data Sheet'!B51</f>
        <v>85.67</v>
      </c>
      <c r="C9" s="6">
        <f>'Data Sheet'!C51</f>
        <v>80.64</v>
      </c>
      <c r="D9" s="6">
        <f>'Data Sheet'!D51</f>
        <v>74.010000000000005</v>
      </c>
      <c r="E9" s="6">
        <f>'Data Sheet'!E51</f>
        <v>71.290000000000006</v>
      </c>
      <c r="F9" s="6">
        <f>'Data Sheet'!F51</f>
        <v>68.010000000000005</v>
      </c>
      <c r="G9" s="6">
        <f>'Data Sheet'!G51</f>
        <v>70.87</v>
      </c>
      <c r="H9" s="6">
        <f>'Data Sheet'!H51</f>
        <v>66.89</v>
      </c>
      <c r="I9" s="6">
        <f>'Data Sheet'!I51</f>
        <v>89.1</v>
      </c>
      <c r="J9" s="6">
        <f>'Data Sheet'!J51</f>
        <v>91.76</v>
      </c>
      <c r="K9" s="6">
        <f>'Data Sheet'!K51</f>
        <v>107.59</v>
      </c>
    </row>
    <row r="10" spans="1:11" x14ac:dyDescent="0.25">
      <c r="A10" t="s">
        <v>76</v>
      </c>
      <c r="B10" s="6">
        <f>'Data Sheet'!B52</f>
        <v>558.79</v>
      </c>
      <c r="C10" s="6">
        <f>'Data Sheet'!C52</f>
        <v>629.66999999999996</v>
      </c>
      <c r="D10" s="6">
        <f>'Data Sheet'!D52</f>
        <v>736.1</v>
      </c>
      <c r="E10" s="6">
        <f>'Data Sheet'!E52</f>
        <v>497.71</v>
      </c>
      <c r="F10" s="6">
        <f>'Data Sheet'!F52</f>
        <v>993.03</v>
      </c>
      <c r="G10" s="6">
        <f>'Data Sheet'!G52</f>
        <v>1054.8599999999999</v>
      </c>
      <c r="H10" s="6">
        <f>'Data Sheet'!H52</f>
        <v>1071.27</v>
      </c>
      <c r="I10" s="6">
        <f>'Data Sheet'!I52</f>
        <v>895.84</v>
      </c>
      <c r="J10" s="6">
        <f>'Data Sheet'!J52</f>
        <v>1415.54</v>
      </c>
      <c r="K10" s="6">
        <f>'Data Sheet'!K52</f>
        <v>2006.97</v>
      </c>
    </row>
    <row r="11" spans="1:11" x14ac:dyDescent="0.25">
      <c r="A11" t="s">
        <v>18</v>
      </c>
      <c r="B11" s="6">
        <f>'Data Sheet'!B53</f>
        <v>105.46</v>
      </c>
      <c r="C11" s="6">
        <f>'Data Sheet'!C53</f>
        <v>134.35</v>
      </c>
      <c r="D11" s="6">
        <f>'Data Sheet'!D53</f>
        <v>117.4</v>
      </c>
      <c r="E11" s="6">
        <f>'Data Sheet'!E53</f>
        <v>129.49</v>
      </c>
      <c r="F11" s="6">
        <f>'Data Sheet'!F53</f>
        <v>187.49</v>
      </c>
      <c r="G11" s="6">
        <f>'Data Sheet'!G53</f>
        <v>195.38</v>
      </c>
      <c r="H11" s="6">
        <f>'Data Sheet'!H53</f>
        <v>212.41</v>
      </c>
      <c r="I11" s="6">
        <f>'Data Sheet'!I53</f>
        <v>113.46</v>
      </c>
      <c r="J11" s="6">
        <f>'Data Sheet'!J53</f>
        <v>194.08</v>
      </c>
      <c r="K11" s="6">
        <f>'Data Sheet'!K53</f>
        <v>522.14</v>
      </c>
    </row>
    <row r="12" spans="1:11" s="2" customFormat="1" x14ac:dyDescent="0.25">
      <c r="A12" s="2" t="s">
        <v>78</v>
      </c>
      <c r="B12" s="1">
        <f>'Data Sheet'!B54</f>
        <v>452.26</v>
      </c>
      <c r="C12" s="1">
        <f>'Data Sheet'!C54</f>
        <v>489.67</v>
      </c>
      <c r="D12" s="1">
        <f>'Data Sheet'!D54</f>
        <v>613.12</v>
      </c>
      <c r="E12" s="1">
        <f>'Data Sheet'!E54</f>
        <v>359.43</v>
      </c>
      <c r="F12" s="1">
        <f>'Data Sheet'!F54</f>
        <v>801.31</v>
      </c>
      <c r="G12" s="1">
        <f>'Data Sheet'!G54</f>
        <v>852.63</v>
      </c>
      <c r="H12" s="1">
        <f>'Data Sheet'!H54</f>
        <v>855.16</v>
      </c>
      <c r="I12" s="1">
        <f>'Data Sheet'!I54</f>
        <v>772.52</v>
      </c>
      <c r="J12" s="1">
        <f>'Data Sheet'!J54</f>
        <v>1219.03</v>
      </c>
      <c r="K12" s="1">
        <f>'Data Sheet'!K54</f>
        <v>1477.92</v>
      </c>
    </row>
    <row r="14" spans="1:11" s="2" customFormat="1" x14ac:dyDescent="0.25">
      <c r="A14" s="2" t="s">
        <v>124</v>
      </c>
      <c r="B14" s="10">
        <f>IF(B4&gt;0,B6/B4,"")</f>
        <v>0.17787273112507943</v>
      </c>
      <c r="C14" s="10">
        <f t="shared" ref="C14:K14" si="0">IF(C4&gt;0,C6/C4,"")</f>
        <v>0.18214728017528817</v>
      </c>
      <c r="D14" s="10">
        <f t="shared" si="0"/>
        <v>0.19970331376589495</v>
      </c>
      <c r="E14" s="10">
        <f t="shared" si="0"/>
        <v>0.20094581709768</v>
      </c>
      <c r="F14" s="10">
        <f t="shared" si="0"/>
        <v>0.22158872780711136</v>
      </c>
      <c r="G14" s="10">
        <f t="shared" si="0"/>
        <v>0.23628129665963302</v>
      </c>
      <c r="H14" s="10">
        <f t="shared" si="0"/>
        <v>0.23508463497644647</v>
      </c>
      <c r="I14" s="10">
        <f t="shared" si="0"/>
        <v>0.23312858536860812</v>
      </c>
      <c r="J14" s="10">
        <f t="shared" si="0"/>
        <v>0.27554982658885763</v>
      </c>
      <c r="K14" s="10">
        <f t="shared" si="0"/>
        <v>0.33222088368799757</v>
      </c>
    </row>
    <row r="22" s="23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9" activePane="bottomRight" state="frozen"/>
      <selection pane="topRight" activeCell="C4" sqref="C4"/>
      <selection pane="bottomLeft" activeCell="C4" sqref="C4"/>
      <selection pane="bottomRight" activeCell="G12" sqref="G12"/>
    </sheetView>
  </sheetViews>
  <sheetFormatPr defaultColWidth="8.85546875" defaultRowHeight="15" x14ac:dyDescent="0.25"/>
  <cols>
    <col min="1" max="1" width="22.85546875" bestFit="1" customWidth="1"/>
    <col min="2" max="2" width="13.42578125" customWidth="1"/>
    <col min="3" max="11" width="15.42578125" customWidth="1"/>
  </cols>
  <sheetData>
    <row r="1" spans="1:11" s="2" customFormat="1" x14ac:dyDescent="0.25">
      <c r="A1" s="2" t="str">
        <f>'Profit &amp; Loss'!A1</f>
        <v>LUPIN LTD</v>
      </c>
      <c r="E1" t="str">
        <f>UPDATE</f>
        <v/>
      </c>
      <c r="G1"/>
      <c r="J1" s="2" t="s">
        <v>114</v>
      </c>
    </row>
    <row r="2" spans="1:11" x14ac:dyDescent="0.25">
      <c r="G2" s="2"/>
      <c r="H2" s="2"/>
    </row>
    <row r="3" spans="1:11" x14ac:dyDescent="0.25">
      <c r="A3" s="11" t="s">
        <v>115</v>
      </c>
      <c r="B3" s="12">
        <f>'Data Sheet'!B61</f>
        <v>42460</v>
      </c>
      <c r="C3" s="12">
        <f>'Data Sheet'!C61</f>
        <v>42825</v>
      </c>
      <c r="D3" s="12">
        <f>'Data Sheet'!D61</f>
        <v>43190</v>
      </c>
      <c r="E3" s="12">
        <f>'Data Sheet'!E61</f>
        <v>43555</v>
      </c>
      <c r="F3" s="12">
        <f>'Data Sheet'!F61</f>
        <v>43921</v>
      </c>
      <c r="G3" s="12">
        <f>'Data Sheet'!G61</f>
        <v>44286</v>
      </c>
      <c r="H3" s="12">
        <f>'Data Sheet'!H61</f>
        <v>44651</v>
      </c>
      <c r="I3" s="12">
        <f>'Data Sheet'!I61</f>
        <v>45016</v>
      </c>
      <c r="J3" s="12">
        <f>'Data Sheet'!J61</f>
        <v>45382</v>
      </c>
      <c r="K3" s="12">
        <f>'Data Sheet'!K61</f>
        <v>45747</v>
      </c>
    </row>
    <row r="4" spans="1:11" x14ac:dyDescent="0.25">
      <c r="A4" t="s">
        <v>89</v>
      </c>
      <c r="B4" s="14">
        <f>'Data Sheet'!B62</f>
        <v>90.12</v>
      </c>
      <c r="C4" s="14">
        <f>'Data Sheet'!C62</f>
        <v>90.32</v>
      </c>
      <c r="D4" s="14">
        <f>'Data Sheet'!D62</f>
        <v>90.42</v>
      </c>
      <c r="E4" s="14">
        <f>'Data Sheet'!E62</f>
        <v>90.5</v>
      </c>
      <c r="F4" s="14">
        <f>'Data Sheet'!F62</f>
        <v>90.6</v>
      </c>
      <c r="G4" s="14">
        <f>'Data Sheet'!G62</f>
        <v>90.74</v>
      </c>
      <c r="H4" s="14">
        <f>'Data Sheet'!H62</f>
        <v>90.9</v>
      </c>
      <c r="I4" s="14">
        <f>'Data Sheet'!I62</f>
        <v>91</v>
      </c>
      <c r="J4" s="14">
        <f>'Data Sheet'!J62</f>
        <v>91.14</v>
      </c>
      <c r="K4" s="14">
        <f>'Data Sheet'!K62</f>
        <v>91.32</v>
      </c>
    </row>
    <row r="5" spans="1:11" x14ac:dyDescent="0.25">
      <c r="A5" t="s">
        <v>90</v>
      </c>
      <c r="B5" s="14">
        <f>'Data Sheet'!B63</f>
        <v>11073.25</v>
      </c>
      <c r="C5" s="14">
        <f>'Data Sheet'!C63</f>
        <v>13407.25</v>
      </c>
      <c r="D5" s="14">
        <f>'Data Sheet'!D63</f>
        <v>13486.64</v>
      </c>
      <c r="E5" s="14">
        <f>'Data Sheet'!E63</f>
        <v>13651.73</v>
      </c>
      <c r="F5" s="14">
        <f>'Data Sheet'!F63</f>
        <v>12446.1</v>
      </c>
      <c r="G5" s="14">
        <f>'Data Sheet'!G63</f>
        <v>13712.4</v>
      </c>
      <c r="H5" s="14">
        <f>'Data Sheet'!H63</f>
        <v>12062.37</v>
      </c>
      <c r="I5" s="14">
        <f>'Data Sheet'!I63</f>
        <v>12373.5</v>
      </c>
      <c r="J5" s="14">
        <f>'Data Sheet'!J63</f>
        <v>14199.15</v>
      </c>
      <c r="K5" s="14">
        <f>'Data Sheet'!K63</f>
        <v>17112.18</v>
      </c>
    </row>
    <row r="6" spans="1:11" x14ac:dyDescent="0.25">
      <c r="A6" t="s">
        <v>91</v>
      </c>
      <c r="B6" s="14">
        <f>'Data Sheet'!B64</f>
        <v>7177.52</v>
      </c>
      <c r="C6" s="14">
        <f>'Data Sheet'!C64</f>
        <v>7966.09</v>
      </c>
      <c r="D6" s="14">
        <f>'Data Sheet'!D64</f>
        <v>7142.8</v>
      </c>
      <c r="E6" s="14">
        <f>'Data Sheet'!E64</f>
        <v>8496.07</v>
      </c>
      <c r="F6" s="14">
        <f>'Data Sheet'!F64</f>
        <v>6305.32</v>
      </c>
      <c r="G6" s="14">
        <f>'Data Sheet'!G64</f>
        <v>5129.08</v>
      </c>
      <c r="H6" s="14">
        <f>'Data Sheet'!H64</f>
        <v>4158.38</v>
      </c>
      <c r="I6" s="14">
        <f>'Data Sheet'!I64</f>
        <v>4541.5200000000004</v>
      </c>
      <c r="J6" s="14">
        <f>'Data Sheet'!J64</f>
        <v>2921.77</v>
      </c>
      <c r="K6" s="14">
        <f>'Data Sheet'!K64</f>
        <v>5447.77</v>
      </c>
    </row>
    <row r="7" spans="1:11" x14ac:dyDescent="0.25">
      <c r="A7" t="s">
        <v>92</v>
      </c>
      <c r="B7" s="14">
        <f>'Data Sheet'!B65</f>
        <v>3957.29</v>
      </c>
      <c r="C7" s="14">
        <f>'Data Sheet'!C65</f>
        <v>4748.7700000000004</v>
      </c>
      <c r="D7" s="14">
        <f>'Data Sheet'!D65</f>
        <v>5299.99</v>
      </c>
      <c r="E7" s="14">
        <f>'Data Sheet'!E65</f>
        <v>5422.79</v>
      </c>
      <c r="F7" s="14">
        <f>'Data Sheet'!F65</f>
        <v>5967.52</v>
      </c>
      <c r="G7" s="14">
        <f>'Data Sheet'!G65</f>
        <v>4498.01</v>
      </c>
      <c r="H7" s="14">
        <f>'Data Sheet'!H65</f>
        <v>5339.84</v>
      </c>
      <c r="I7" s="14">
        <f>'Data Sheet'!I65</f>
        <v>5794.26</v>
      </c>
      <c r="J7" s="14">
        <f>'Data Sheet'!J65</f>
        <v>6539.25</v>
      </c>
      <c r="K7" s="14">
        <f>'Data Sheet'!K65</f>
        <v>6327.2</v>
      </c>
    </row>
    <row r="8" spans="1:11" s="2" customFormat="1" x14ac:dyDescent="0.25">
      <c r="A8" s="2" t="s">
        <v>93</v>
      </c>
      <c r="B8" s="15">
        <f>'Data Sheet'!B66</f>
        <v>22298.18</v>
      </c>
      <c r="C8" s="15">
        <f>'Data Sheet'!C66</f>
        <v>26212.43</v>
      </c>
      <c r="D8" s="15">
        <f>'Data Sheet'!D66</f>
        <v>26019.85</v>
      </c>
      <c r="E8" s="15">
        <f>'Data Sheet'!E66</f>
        <v>27661.09</v>
      </c>
      <c r="F8" s="15">
        <f>'Data Sheet'!F66</f>
        <v>24809.54</v>
      </c>
      <c r="G8" s="15">
        <f>'Data Sheet'!G66</f>
        <v>23430.23</v>
      </c>
      <c r="H8" s="15">
        <f>'Data Sheet'!H66</f>
        <v>21651.49</v>
      </c>
      <c r="I8" s="15">
        <f>'Data Sheet'!I66</f>
        <v>22800.28</v>
      </c>
      <c r="J8" s="15">
        <f>'Data Sheet'!J66</f>
        <v>23751.31</v>
      </c>
      <c r="K8" s="15">
        <f>'Data Sheet'!K66</f>
        <v>28978.47</v>
      </c>
    </row>
    <row r="9" spans="1:11" s="2" customFormat="1" x14ac:dyDescent="0.2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25">
      <c r="A10" t="s">
        <v>94</v>
      </c>
      <c r="B10" s="14">
        <f>'Data Sheet'!B67</f>
        <v>8716.9599999999991</v>
      </c>
      <c r="C10" s="14">
        <f>'Data Sheet'!C67</f>
        <v>11032.93</v>
      </c>
      <c r="D10" s="14">
        <f>'Data Sheet'!D67</f>
        <v>10361.99</v>
      </c>
      <c r="E10" s="14">
        <f>'Data Sheet'!E67</f>
        <v>11086.71</v>
      </c>
      <c r="F10" s="14">
        <f>'Data Sheet'!F67</f>
        <v>7938.11</v>
      </c>
      <c r="G10" s="14">
        <f>'Data Sheet'!G67</f>
        <v>7880.76</v>
      </c>
      <c r="H10" s="14">
        <f>'Data Sheet'!H67</f>
        <v>7381.62</v>
      </c>
      <c r="I10" s="14">
        <f>'Data Sheet'!I67</f>
        <v>8355.24</v>
      </c>
      <c r="J10" s="14">
        <f>'Data Sheet'!J67</f>
        <v>8878.2999999999993</v>
      </c>
      <c r="K10" s="14">
        <f>'Data Sheet'!K67</f>
        <v>9719.35</v>
      </c>
    </row>
    <row r="11" spans="1:11" x14ac:dyDescent="0.25">
      <c r="A11" t="s">
        <v>95</v>
      </c>
      <c r="B11" s="14">
        <f>'Data Sheet'!B68</f>
        <v>2702.4</v>
      </c>
      <c r="C11" s="14">
        <f>'Data Sheet'!C68</f>
        <v>2133.06</v>
      </c>
      <c r="D11" s="14">
        <f>'Data Sheet'!D68</f>
        <v>2598.1999999999998</v>
      </c>
      <c r="E11" s="14">
        <f>'Data Sheet'!E68</f>
        <v>1639.71</v>
      </c>
      <c r="F11" s="14">
        <f>'Data Sheet'!F68</f>
        <v>939.62</v>
      </c>
      <c r="G11" s="14">
        <f>'Data Sheet'!G68</f>
        <v>1066.26</v>
      </c>
      <c r="H11" s="14">
        <f>'Data Sheet'!H68</f>
        <v>1146.28</v>
      </c>
      <c r="I11" s="14">
        <f>'Data Sheet'!I68</f>
        <v>1237.99</v>
      </c>
      <c r="J11" s="14">
        <f>'Data Sheet'!J68</f>
        <v>772.53</v>
      </c>
      <c r="K11" s="14">
        <f>'Data Sheet'!K68</f>
        <v>516.64</v>
      </c>
    </row>
    <row r="12" spans="1:11" x14ac:dyDescent="0.25">
      <c r="A12" t="s">
        <v>96</v>
      </c>
      <c r="B12" s="14">
        <f>'Data Sheet'!B69</f>
        <v>16.350000000000001</v>
      </c>
      <c r="C12" s="14">
        <f>'Data Sheet'!C69</f>
        <v>2136.13</v>
      </c>
      <c r="D12" s="14">
        <f>'Data Sheet'!D69</f>
        <v>261.57</v>
      </c>
      <c r="E12" s="14">
        <f>'Data Sheet'!E69</f>
        <v>2295.4899999999998</v>
      </c>
      <c r="F12" s="14">
        <f>'Data Sheet'!F69</f>
        <v>2374.3200000000002</v>
      </c>
      <c r="G12" s="14">
        <f>'Data Sheet'!G69</f>
        <v>2454.88</v>
      </c>
      <c r="H12" s="14">
        <f>'Data Sheet'!H69</f>
        <v>900</v>
      </c>
      <c r="I12" s="14">
        <f>'Data Sheet'!I69</f>
        <v>516.9</v>
      </c>
      <c r="J12" s="14">
        <f>'Data Sheet'!J69</f>
        <v>1074.6300000000001</v>
      </c>
      <c r="K12" s="14">
        <f>'Data Sheet'!K69</f>
        <v>1146.3800000000001</v>
      </c>
    </row>
    <row r="13" spans="1:11" x14ac:dyDescent="0.25">
      <c r="A13" t="s">
        <v>97</v>
      </c>
      <c r="B13" s="14">
        <f>'Data Sheet'!B70</f>
        <v>10862.47</v>
      </c>
      <c r="C13" s="14">
        <f>'Data Sheet'!C70</f>
        <v>10910.31</v>
      </c>
      <c r="D13" s="14">
        <f>'Data Sheet'!D70</f>
        <v>12798.09</v>
      </c>
      <c r="E13" s="14">
        <f>'Data Sheet'!E70</f>
        <v>12639.18</v>
      </c>
      <c r="F13" s="14">
        <f>'Data Sheet'!F70</f>
        <v>13557.49</v>
      </c>
      <c r="G13" s="14">
        <f>'Data Sheet'!G70</f>
        <v>12028.33</v>
      </c>
      <c r="H13" s="14">
        <f>'Data Sheet'!H70</f>
        <v>12223.59</v>
      </c>
      <c r="I13" s="14">
        <f>'Data Sheet'!I70</f>
        <v>12690.15</v>
      </c>
      <c r="J13" s="14">
        <f>'Data Sheet'!J70</f>
        <v>13025.85</v>
      </c>
      <c r="K13" s="14">
        <f>'Data Sheet'!K70</f>
        <v>17596.099999999999</v>
      </c>
    </row>
    <row r="14" spans="1:11" s="2" customFormat="1" x14ac:dyDescent="0.25">
      <c r="A14" s="2" t="s">
        <v>93</v>
      </c>
      <c r="B14" s="14">
        <f>'Data Sheet'!B71</f>
        <v>22298.18</v>
      </c>
      <c r="C14" s="14">
        <f>'Data Sheet'!C71</f>
        <v>26212.43</v>
      </c>
      <c r="D14" s="14">
        <f>'Data Sheet'!D71</f>
        <v>26019.85</v>
      </c>
      <c r="E14" s="14">
        <f>'Data Sheet'!E71</f>
        <v>27661.09</v>
      </c>
      <c r="F14" s="14">
        <f>'Data Sheet'!F71</f>
        <v>24809.54</v>
      </c>
      <c r="G14" s="14">
        <f>'Data Sheet'!G71</f>
        <v>23430.23</v>
      </c>
      <c r="H14" s="14">
        <f>'Data Sheet'!H71</f>
        <v>21651.49</v>
      </c>
      <c r="I14" s="14">
        <f>'Data Sheet'!I71</f>
        <v>22800.28</v>
      </c>
      <c r="J14" s="14">
        <f>'Data Sheet'!J71</f>
        <v>23751.31</v>
      </c>
      <c r="K14" s="14">
        <f>'Data Sheet'!K71</f>
        <v>28978.47</v>
      </c>
    </row>
    <row r="15" spans="1:1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5">
      <c r="A16" t="s">
        <v>135</v>
      </c>
      <c r="B16" s="4">
        <f>B13-B7</f>
        <v>6905.1799999999994</v>
      </c>
      <c r="C16" s="4">
        <f t="shared" ref="C16:K16" si="0">C13-C7</f>
        <v>6161.5399999999991</v>
      </c>
      <c r="D16" s="4">
        <f t="shared" si="0"/>
        <v>7498.1</v>
      </c>
      <c r="E16" s="4">
        <f t="shared" si="0"/>
        <v>7216.39</v>
      </c>
      <c r="F16" s="4">
        <f t="shared" si="0"/>
        <v>7589.9699999999993</v>
      </c>
      <c r="G16" s="4">
        <f t="shared" si="0"/>
        <v>7530.32</v>
      </c>
      <c r="H16" s="4">
        <f t="shared" si="0"/>
        <v>6883.75</v>
      </c>
      <c r="I16" s="4">
        <f t="shared" si="0"/>
        <v>6895.8899999999994</v>
      </c>
      <c r="J16" s="4">
        <f t="shared" si="0"/>
        <v>6486.6</v>
      </c>
      <c r="K16" s="4">
        <f t="shared" si="0"/>
        <v>11268.899999999998</v>
      </c>
    </row>
    <row r="17" spans="1:11" x14ac:dyDescent="0.25">
      <c r="A17" t="s">
        <v>136</v>
      </c>
      <c r="B17" s="4">
        <f>'Data Sheet'!B72</f>
        <v>4548.76</v>
      </c>
      <c r="C17" s="4">
        <f>'Data Sheet'!C72</f>
        <v>4307.34</v>
      </c>
      <c r="D17" s="4">
        <f>'Data Sheet'!D72</f>
        <v>5192.21</v>
      </c>
      <c r="E17" s="4">
        <f>'Data Sheet'!E72</f>
        <v>5149.8</v>
      </c>
      <c r="F17" s="4">
        <f>'Data Sheet'!F72</f>
        <v>5445.93</v>
      </c>
      <c r="G17" s="4">
        <f>'Data Sheet'!G72</f>
        <v>4474.32</v>
      </c>
      <c r="H17" s="4">
        <f>'Data Sheet'!H72</f>
        <v>4261.9399999999996</v>
      </c>
      <c r="I17" s="4">
        <f>'Data Sheet'!I72</f>
        <v>4480.7</v>
      </c>
      <c r="J17" s="4">
        <f>'Data Sheet'!J72</f>
        <v>4692.05</v>
      </c>
      <c r="K17" s="4">
        <f>'Data Sheet'!K72</f>
        <v>5497.1</v>
      </c>
    </row>
    <row r="18" spans="1:11" x14ac:dyDescent="0.25">
      <c r="A18" t="s">
        <v>99</v>
      </c>
      <c r="B18" s="4">
        <f>'Data Sheet'!B73</f>
        <v>3273.65</v>
      </c>
      <c r="C18" s="4">
        <f>'Data Sheet'!C73</f>
        <v>3642.28</v>
      </c>
      <c r="D18" s="4">
        <f>'Data Sheet'!D73</f>
        <v>3662.49</v>
      </c>
      <c r="E18" s="4">
        <f>'Data Sheet'!E73</f>
        <v>3836.77</v>
      </c>
      <c r="F18" s="4">
        <f>'Data Sheet'!F73</f>
        <v>3456.87</v>
      </c>
      <c r="G18" s="4">
        <f>'Data Sheet'!G73</f>
        <v>4092.01</v>
      </c>
      <c r="H18" s="4">
        <f>'Data Sheet'!H73</f>
        <v>4630.7299999999996</v>
      </c>
      <c r="I18" s="4">
        <f>'Data Sheet'!I73</f>
        <v>4491.76</v>
      </c>
      <c r="J18" s="4">
        <f>'Data Sheet'!J73</f>
        <v>4953.8999999999996</v>
      </c>
      <c r="K18" s="4">
        <f>'Data Sheet'!K73</f>
        <v>5476.35</v>
      </c>
    </row>
    <row r="20" spans="1:11" x14ac:dyDescent="0.25">
      <c r="A20" t="s">
        <v>137</v>
      </c>
      <c r="B20" s="4">
        <f>IF('Profit &amp; Loss'!B4&gt;0,'Balance Sheet'!B17/('Profit &amp; Loss'!B4/365),0)</f>
        <v>116.46681921554709</v>
      </c>
      <c r="C20" s="4">
        <f>IF('Profit &amp; Loss'!C4&gt;0,'Balance Sheet'!C17/('Profit &amp; Loss'!C4/365),0)</f>
        <v>90.524828730643307</v>
      </c>
      <c r="D20" s="4">
        <f>IF('Profit &amp; Loss'!D4&gt;0,'Balance Sheet'!D17/('Profit &amp; Loss'!D4/365),0)</f>
        <v>119.97282001449685</v>
      </c>
      <c r="E20" s="4">
        <f>IF('Profit &amp; Loss'!E4&gt;0,'Balance Sheet'!E17/('Profit &amp; Loss'!E4/365),0)</f>
        <v>128.17820650602542</v>
      </c>
      <c r="F20" s="4">
        <f>IF('Profit &amp; Loss'!F4&gt;0,'Balance Sheet'!F17/('Profit &amp; Loss'!F4/365),0)</f>
        <v>129.28751082943734</v>
      </c>
      <c r="G20" s="4">
        <f>IF('Profit &amp; Loss'!G4&gt;0,'Balance Sheet'!G17/('Profit &amp; Loss'!G4/365),0)</f>
        <v>107.70501274157552</v>
      </c>
      <c r="H20" s="4">
        <f>IF('Profit &amp; Loss'!H4&gt;0,'Balance Sheet'!H17/('Profit &amp; Loss'!H4/365),0)</f>
        <v>94.822467858300996</v>
      </c>
      <c r="I20" s="4">
        <f>IF('Profit &amp; Loss'!I4&gt;0,'Balance Sheet'!I17/('Profit &amp; Loss'!I4/365),0)</f>
        <v>98.274781482135793</v>
      </c>
      <c r="J20" s="4">
        <f>IF('Profit &amp; Loss'!J4&gt;0,'Balance Sheet'!J17/('Profit &amp; Loss'!J4/365),0)</f>
        <v>85.583611766034579</v>
      </c>
      <c r="K20" s="4">
        <f>IF('Profit &amp; Loss'!K4&gt;0,'Balance Sheet'!K17/('Profit &amp; Loss'!K4/365),0)</f>
        <v>88.358742992526828</v>
      </c>
    </row>
    <row r="21" spans="1:11" x14ac:dyDescent="0.25">
      <c r="A21" t="s">
        <v>138</v>
      </c>
      <c r="B21" s="4">
        <f>IF('Balance Sheet'!B18&gt;0,'Profit &amp; Loss'!B4/'Balance Sheet'!B18,0)</f>
        <v>4.3546316802346006</v>
      </c>
      <c r="C21" s="4">
        <f>IF('Balance Sheet'!C18&gt;0,'Profit &amp; Loss'!C4/'Balance Sheet'!C18,0)</f>
        <v>4.7682715222333263</v>
      </c>
      <c r="D21" s="4">
        <f>IF('Balance Sheet'!D18&gt;0,'Profit &amp; Loss'!D4/'Balance Sheet'!D18,0)</f>
        <v>4.3130629708203978</v>
      </c>
      <c r="E21" s="4">
        <f>IF('Balance Sheet'!E18&gt;0,'Profit &amp; Loss'!E4/'Balance Sheet'!E18,0)</f>
        <v>3.8221107858954277</v>
      </c>
      <c r="F21" s="4">
        <f>IF('Balance Sheet'!F18&gt;0,'Profit &amp; Loss'!F4/'Balance Sheet'!F18,0)</f>
        <v>4.4475956573432036</v>
      </c>
      <c r="G21" s="4">
        <f>IF('Balance Sheet'!G18&gt;0,'Profit &amp; Loss'!G4/'Balance Sheet'!G18,0)</f>
        <v>3.7055041409967227</v>
      </c>
      <c r="H21" s="4">
        <f>IF('Balance Sheet'!H18&gt;0,'Profit &amp; Loss'!H4/'Balance Sheet'!H18,0)</f>
        <v>3.5427416411667276</v>
      </c>
      <c r="I21" s="4">
        <f>IF('Balance Sheet'!I18&gt;0,'Profit &amp; Loss'!I4/'Balance Sheet'!I18,0)</f>
        <v>3.7049308066325892</v>
      </c>
      <c r="J21" s="4">
        <f>IF('Balance Sheet'!J18&gt;0,'Profit &amp; Loss'!J4/'Balance Sheet'!J18,0)</f>
        <v>4.039407335634551</v>
      </c>
      <c r="K21" s="4">
        <f>IF('Balance Sheet'!K18&gt;0,'Profit &amp; Loss'!K4/'Balance Sheet'!K18,0)</f>
        <v>4.1465392095099842</v>
      </c>
    </row>
    <row r="23" spans="1:11" s="2" customFormat="1" x14ac:dyDescent="0.25">
      <c r="A23" s="2" t="s">
        <v>139</v>
      </c>
      <c r="B23" s="10">
        <f>IF(SUM('Balance Sheet'!B4:B5)&gt;0,'Profit &amp; Loss'!B12/SUM('Balance Sheet'!B4:B5),"")</f>
        <v>0.20251411536122152</v>
      </c>
      <c r="C23" s="10">
        <f>IF(SUM('Balance Sheet'!C4:C5)&gt;0,'Profit &amp; Loss'!C12/SUM('Balance Sheet'!C4:C5),"")</f>
        <v>0.18947558708715717</v>
      </c>
      <c r="D23" s="10">
        <f>IF(SUM('Balance Sheet'!D4:D5)&gt;0,'Profit &amp; Loss'!D12/SUM('Balance Sheet'!D4:D5),"")</f>
        <v>1.8506215631366438E-2</v>
      </c>
      <c r="E23" s="10">
        <f>IF(SUM('Balance Sheet'!E4:E5)&gt;0,'Profit &amp; Loss'!E12/SUM('Balance Sheet'!E4:E5),"")</f>
        <v>4.413766906826621E-2</v>
      </c>
      <c r="F23" s="10">
        <f>IF(SUM('Balance Sheet'!F4:F5)&gt;0,'Profit &amp; Loss'!F12/SUM('Balance Sheet'!F4:F5),"")</f>
        <v>-2.1488110906378869E-2</v>
      </c>
      <c r="G23" s="10">
        <f>IF(SUM('Balance Sheet'!G4:G5)&gt;0,'Profit &amp; Loss'!G12/SUM('Balance Sheet'!G4:G5),"")</f>
        <v>8.8134294080912029E-2</v>
      </c>
      <c r="H23" s="10">
        <f>IF(SUM('Balance Sheet'!H4:H5)&gt;0,'Profit &amp; Loss'!H12/SUM('Balance Sheet'!H4:H5),"")</f>
        <v>-0.1257307704017108</v>
      </c>
      <c r="I23" s="10">
        <f>IF(SUM('Balance Sheet'!I4:I5)&gt;0,'Profit &amp; Loss'!I12/SUM('Balance Sheet'!I4:I5),"")</f>
        <v>3.4504392474627943E-2</v>
      </c>
      <c r="J23" s="10">
        <f>IF(SUM('Balance Sheet'!J4:J5)&gt;0,'Profit &amp; Loss'!J12/SUM('Balance Sheet'!J4:J5),"")</f>
        <v>0.133970689188253</v>
      </c>
      <c r="K23" s="10">
        <f>IF(SUM('Balance Sheet'!K4:K5)&gt;0,'Profit &amp; Loss'!K12/SUM('Balance Sheet'!K4:K5),"")</f>
        <v>0.19075304443863167</v>
      </c>
    </row>
    <row r="24" spans="1:11" s="2" customFormat="1" x14ac:dyDescent="0.25">
      <c r="A24" s="2" t="s">
        <v>140</v>
      </c>
      <c r="B24" s="10"/>
      <c r="C24" s="10">
        <f>IF((B4+B5+B6+C4+C5+C6)&gt;0,('Profit &amp; Loss'!C10+'Profit &amp; Loss'!C9)*2/(B4+B5+B6+C4+C5+C6),"")</f>
        <v>0.18569083182701474</v>
      </c>
      <c r="D24" s="10">
        <f>IF((C4+C5+C6+D4+D5+D6)&gt;0,('Profit &amp; Loss'!D10+'Profit &amp; Loss'!D9)*2/(C4+C5+C6+D4+D5+D6),"")</f>
        <v>3.5613907990608651E-2</v>
      </c>
      <c r="E24" s="10">
        <f>IF((D4+D5+D6+E4+E5+E6)&gt;0,('Profit &amp; Loss'!E10+'Profit &amp; Loss'!E9)*2/(D4+D5+D6+E4+E5+E6),"")</f>
        <v>8.4077623436385557E-2</v>
      </c>
      <c r="F24" s="10">
        <f>IF((E4+E5+E6+F4+F5+F6)&gt;0,('Profit &amp; Loss'!F10+'Profit &amp; Loss'!F9)*2/(E4+E5+E6+F4+F5+F6),"")</f>
        <v>6.0871482987474294E-2</v>
      </c>
      <c r="G24" s="10">
        <f>IF((F4+F5+F6+G4+G5+G6)&gt;0,('Profit &amp; Loss'!G10+'Profit &amp; Loss'!G9)*2/(F4+F5+F6+G4+G5+G6),"")</f>
        <v>9.6207891939056878E-2</v>
      </c>
      <c r="H24" s="10">
        <f>IF((G4+G5+G6+H4+H5+H6)&gt;0,('Profit &amp; Loss'!H10+'Profit &amp; Loss'!H9)*2/(G4+G5+G6+H4+H5+H6),"")</f>
        <v>-6.9767593626920088E-2</v>
      </c>
      <c r="I24" s="10">
        <f>IF((H4+H5+H6+I4+I5+I6)&gt;0,('Profit &amp; Loss'!I10+'Profit &amp; Loss'!I9)*2/(H4+H5+H6+I4+I5+I6),"")</f>
        <v>5.9475347465774167E-2</v>
      </c>
      <c r="J24" s="10">
        <f>IF((I4+I5+I6+J4+J5+J6)&gt;0,('Profit &amp; Loss'!J10+'Profit &amp; Loss'!J9)*2/(I4+I5+I6+J4+J5+J6),"")</f>
        <v>0.15979154879525681</v>
      </c>
      <c r="K24" s="10">
        <f>IF((J4+J5+J6+K4+K5+K6)&gt;0,('Profit &amp; Loss'!K10+'Profit &amp; Loss'!K9)*2/(J4+J5+J6+K4+K5+K6),"")</f>
        <v>0.21623231175117583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5546875" defaultRowHeight="15" x14ac:dyDescent="0.25"/>
  <cols>
    <col min="1" max="1" width="26.85546875" bestFit="1" customWidth="1"/>
    <col min="2" max="6" width="13.42578125" customWidth="1"/>
    <col min="7" max="11" width="13.42578125" bestFit="1" customWidth="1"/>
  </cols>
  <sheetData>
    <row r="1" spans="1:11" s="2" customFormat="1" x14ac:dyDescent="0.25">
      <c r="A1" s="2" t="str">
        <f>'Balance Sheet'!A1</f>
        <v>LUPIN LTD</v>
      </c>
      <c r="E1" t="str">
        <f>UPDATE</f>
        <v/>
      </c>
      <c r="F1"/>
      <c r="J1" s="2" t="s">
        <v>114</v>
      </c>
    </row>
    <row r="3" spans="1:11" s="2" customFormat="1" x14ac:dyDescent="0.25">
      <c r="A3" s="11" t="s">
        <v>115</v>
      </c>
      <c r="B3" s="12">
        <f>'Data Sheet'!B86</f>
        <v>42460</v>
      </c>
      <c r="C3" s="12">
        <f>'Data Sheet'!C86</f>
        <v>42825</v>
      </c>
      <c r="D3" s="12">
        <f>'Data Sheet'!D86</f>
        <v>43190</v>
      </c>
      <c r="E3" s="12">
        <f>'Data Sheet'!E86</f>
        <v>43555</v>
      </c>
      <c r="F3" s="12">
        <f>'Data Sheet'!F86</f>
        <v>43921</v>
      </c>
      <c r="G3" s="12">
        <f>'Data Sheet'!G86</f>
        <v>44286</v>
      </c>
      <c r="H3" s="12">
        <f>'Data Sheet'!H86</f>
        <v>44651</v>
      </c>
      <c r="I3" s="12">
        <f>'Data Sheet'!I86</f>
        <v>45016</v>
      </c>
      <c r="J3" s="12">
        <f>'Data Sheet'!J86</f>
        <v>45382</v>
      </c>
      <c r="K3" s="12">
        <f>'Data Sheet'!K86</f>
        <v>45747</v>
      </c>
    </row>
    <row r="4" spans="1:11" s="2" customFormat="1" x14ac:dyDescent="0.25">
      <c r="A4" s="2" t="s">
        <v>105</v>
      </c>
      <c r="B4" s="1">
        <f>'Data Sheet'!B87</f>
        <v>-382.39</v>
      </c>
      <c r="C4" s="1">
        <f>'Data Sheet'!C87</f>
        <v>4113.51</v>
      </c>
      <c r="D4" s="1">
        <f>'Data Sheet'!D87</f>
        <v>1751.19</v>
      </c>
      <c r="E4" s="1">
        <f>'Data Sheet'!E87</f>
        <v>1665.97</v>
      </c>
      <c r="F4" s="1">
        <f>'Data Sheet'!F87</f>
        <v>1468.84</v>
      </c>
      <c r="G4" s="1">
        <f>'Data Sheet'!G87</f>
        <v>1821.76</v>
      </c>
      <c r="H4" s="1">
        <f>'Data Sheet'!H87</f>
        <v>367.31</v>
      </c>
      <c r="I4" s="1">
        <f>'Data Sheet'!I87</f>
        <v>1897.24</v>
      </c>
      <c r="J4" s="1">
        <f>'Data Sheet'!J87</f>
        <v>3648.36</v>
      </c>
      <c r="K4" s="1">
        <f>'Data Sheet'!K87</f>
        <v>2999.94</v>
      </c>
    </row>
    <row r="5" spans="1:11" x14ac:dyDescent="0.25">
      <c r="A5" t="s">
        <v>106</v>
      </c>
      <c r="B5" s="6">
        <f>'Data Sheet'!B88</f>
        <v>-6768.83</v>
      </c>
      <c r="C5" s="6">
        <f>'Data Sheet'!C88</f>
        <v>-2527.44</v>
      </c>
      <c r="D5" s="6">
        <f>'Data Sheet'!D88</f>
        <v>469.87</v>
      </c>
      <c r="E5" s="6">
        <f>'Data Sheet'!E88</f>
        <v>-3282.47</v>
      </c>
      <c r="F5" s="6">
        <f>'Data Sheet'!F88</f>
        <v>1106.99</v>
      </c>
      <c r="G5" s="6">
        <f>'Data Sheet'!G88</f>
        <v>-1239.58</v>
      </c>
      <c r="H5" s="6">
        <f>'Data Sheet'!H88</f>
        <v>1292.23</v>
      </c>
      <c r="I5" s="6">
        <f>'Data Sheet'!I88</f>
        <v>-1286.77</v>
      </c>
      <c r="J5" s="6">
        <f>'Data Sheet'!J88</f>
        <v>-1712.2</v>
      </c>
      <c r="K5" s="6">
        <f>'Data Sheet'!K88</f>
        <v>-4171.8900000000003</v>
      </c>
    </row>
    <row r="6" spans="1:11" x14ac:dyDescent="0.25">
      <c r="A6" t="s">
        <v>107</v>
      </c>
      <c r="B6" s="6">
        <f>'Data Sheet'!B89</f>
        <v>5836.38</v>
      </c>
      <c r="C6" s="6">
        <f>'Data Sheet'!C89</f>
        <v>433.18</v>
      </c>
      <c r="D6" s="6">
        <f>'Data Sheet'!D89</f>
        <v>-1492.09</v>
      </c>
      <c r="E6" s="6">
        <f>'Data Sheet'!E89</f>
        <v>744.13</v>
      </c>
      <c r="F6" s="6">
        <f>'Data Sheet'!F89</f>
        <v>-890.58</v>
      </c>
      <c r="G6" s="6">
        <f>'Data Sheet'!G89</f>
        <v>-1885.27</v>
      </c>
      <c r="H6" s="6">
        <f>'Data Sheet'!H89</f>
        <v>-1572.32</v>
      </c>
      <c r="I6" s="6">
        <f>'Data Sheet'!I89</f>
        <v>-337.25</v>
      </c>
      <c r="J6" s="6">
        <f>'Data Sheet'!J89</f>
        <v>-2184.21</v>
      </c>
      <c r="K6" s="6">
        <f>'Data Sheet'!K89</f>
        <v>1731.88</v>
      </c>
    </row>
    <row r="7" spans="1:11" s="2" customFormat="1" x14ac:dyDescent="0.25">
      <c r="A7" s="2" t="s">
        <v>108</v>
      </c>
      <c r="B7" s="1">
        <f>'Data Sheet'!B90</f>
        <v>-1314.84</v>
      </c>
      <c r="C7" s="1">
        <f>'Data Sheet'!C90</f>
        <v>2019.25</v>
      </c>
      <c r="D7" s="1">
        <f>'Data Sheet'!D90</f>
        <v>728.97</v>
      </c>
      <c r="E7" s="1">
        <f>'Data Sheet'!E90</f>
        <v>-872.37</v>
      </c>
      <c r="F7" s="1">
        <f>'Data Sheet'!F90</f>
        <v>1685.25</v>
      </c>
      <c r="G7" s="1">
        <f>'Data Sheet'!G90</f>
        <v>-1303.0899999999999</v>
      </c>
      <c r="H7" s="1">
        <f>'Data Sheet'!H90</f>
        <v>87.22</v>
      </c>
      <c r="I7" s="1">
        <f>'Data Sheet'!I90</f>
        <v>273.22000000000003</v>
      </c>
      <c r="J7" s="1">
        <f>'Data Sheet'!J90</f>
        <v>-248.05</v>
      </c>
      <c r="K7" s="1">
        <f>'Data Sheet'!K90</f>
        <v>559.92999999999995</v>
      </c>
    </row>
    <row r="8" spans="1:11" x14ac:dyDescent="0.2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2"/>
    <col min="2" max="2" width="10.42578125" customWidth="1"/>
    <col min="3" max="3" width="13.28515625" style="20" customWidth="1"/>
    <col min="6" max="6" width="6.85546875" customWidth="1"/>
  </cols>
  <sheetData>
    <row r="1" spans="1:7" ht="21" x14ac:dyDescent="0.35">
      <c r="A1" s="19" t="s">
        <v>141</v>
      </c>
    </row>
    <row r="3" spans="1:7" x14ac:dyDescent="0.25">
      <c r="A3" s="2" t="s">
        <v>142</v>
      </c>
    </row>
    <row r="4" spans="1:7" x14ac:dyDescent="0.25">
      <c r="B4" t="s">
        <v>143</v>
      </c>
    </row>
    <row r="5" spans="1:7" x14ac:dyDescent="0.25">
      <c r="B5" t="s">
        <v>144</v>
      </c>
    </row>
    <row r="7" spans="1:7" x14ac:dyDescent="0.25">
      <c r="A7" s="2" t="s">
        <v>145</v>
      </c>
    </row>
    <row r="8" spans="1:7" x14ac:dyDescent="0.25">
      <c r="B8" t="s">
        <v>146</v>
      </c>
      <c r="C8" s="21" t="s">
        <v>147</v>
      </c>
    </row>
    <row r="10" spans="1:7" x14ac:dyDescent="0.25">
      <c r="A10" s="2" t="s">
        <v>148</v>
      </c>
    </row>
    <row r="11" spans="1:7" x14ac:dyDescent="0.25">
      <c r="B11" t="s">
        <v>149</v>
      </c>
    </row>
    <row r="14" spans="1:7" x14ac:dyDescent="0.25">
      <c r="A14" s="2" t="s">
        <v>150</v>
      </c>
    </row>
    <row r="15" spans="1:7" x14ac:dyDescent="0.25">
      <c r="B15" t="s">
        <v>151</v>
      </c>
    </row>
    <row r="16" spans="1:7" x14ac:dyDescent="0.25">
      <c r="B16" t="s">
        <v>152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Sheet2</vt:lpstr>
      <vt:lpstr>Sheet1</vt:lpstr>
      <vt:lpstr>WACC</vt:lpstr>
      <vt:lpstr>DCF</vt:lpstr>
      <vt:lpstr>Data Sheet</vt:lpstr>
      <vt:lpstr>Profit &amp; Loss</vt:lpstr>
      <vt:lpstr>Quarters</vt:lpstr>
      <vt:lpstr>Balance Sheet</vt:lpstr>
      <vt:lpstr>Cash Flow</vt:lpstr>
      <vt:lpstr>Customization</vt:lpstr>
      <vt:lpstr>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Pratyush</dc:creator>
  <cp:keywords/>
  <dc:description/>
  <cp:lastModifiedBy>siddhanth kulkarni</cp:lastModifiedBy>
  <cp:revision/>
  <dcterms:created xsi:type="dcterms:W3CDTF">2012-08-17T09:55:37Z</dcterms:created>
  <dcterms:modified xsi:type="dcterms:W3CDTF">2026-01-04T04:27:34Z</dcterms:modified>
  <cp:category/>
  <cp:contentStatus/>
</cp:coreProperties>
</file>