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vi Mishra\Desktop\"/>
    </mc:Choice>
  </mc:AlternateContent>
  <xr:revisionPtr revIDLastSave="0" documentId="13_ncr:1_{937E659F-C11F-47D3-97F3-D391DE6FFC9D}" xr6:coauthVersionLast="47" xr6:coauthVersionMax="47" xr10:uidLastSave="{00000000-0000-0000-0000-000000000000}"/>
  <bookViews>
    <workbookView xWindow="-110" yWindow="-110" windowWidth="19420" windowHeight="10300" xr2:uid="{A930CEFF-FE57-49E2-BBDD-F76B539D3B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" l="1"/>
  <c r="G18" i="1" s="1"/>
  <c r="R18" i="1"/>
  <c r="R17" i="1"/>
  <c r="R16" i="1"/>
  <c r="R15" i="1"/>
  <c r="R14" i="1"/>
  <c r="R13" i="1"/>
  <c r="P18" i="1"/>
  <c r="P17" i="1"/>
  <c r="P16" i="1"/>
  <c r="P15" i="1"/>
  <c r="P14" i="1"/>
  <c r="P13" i="1"/>
  <c r="N18" i="1"/>
  <c r="N17" i="1"/>
  <c r="N16" i="1"/>
  <c r="N15" i="1"/>
  <c r="N14" i="1"/>
  <c r="N13" i="1"/>
  <c r="K15" i="1"/>
  <c r="I18" i="1"/>
  <c r="I17" i="1"/>
  <c r="I16" i="1"/>
  <c r="I15" i="1"/>
  <c r="I14" i="1"/>
  <c r="I13" i="1"/>
  <c r="G17" i="1"/>
  <c r="G16" i="1"/>
  <c r="G15" i="1"/>
  <c r="G14" i="1"/>
  <c r="G13" i="1"/>
  <c r="K9" i="1"/>
  <c r="K8" i="1"/>
  <c r="K7" i="1"/>
  <c r="K6" i="1"/>
  <c r="T6" i="1" s="1"/>
  <c r="T14" i="1" s="1"/>
  <c r="K5" i="1"/>
  <c r="V5" i="1" s="1"/>
  <c r="X25" i="1"/>
  <c r="V25" i="1"/>
  <c r="T25" i="1"/>
  <c r="X23" i="1"/>
  <c r="V23" i="1"/>
  <c r="T23" i="1"/>
  <c r="V8" i="1"/>
  <c r="T8" i="1"/>
  <c r="G8" i="1"/>
  <c r="X8" i="1" s="1"/>
  <c r="X7" i="1"/>
  <c r="V7" i="1"/>
  <c r="T7" i="1"/>
  <c r="X6" i="1"/>
  <c r="X18" i="1" s="1"/>
  <c r="X5" i="1"/>
  <c r="T5" i="1"/>
  <c r="X13" i="1" l="1"/>
  <c r="X14" i="1"/>
  <c r="T15" i="1"/>
  <c r="T16" i="1"/>
  <c r="T17" i="1"/>
  <c r="K17" i="1"/>
  <c r="K16" i="1"/>
  <c r="K18" i="1"/>
  <c r="T18" i="1"/>
  <c r="X16" i="1"/>
  <c r="K13" i="1"/>
  <c r="T13" i="1"/>
  <c r="X17" i="1"/>
  <c r="X15" i="1"/>
  <c r="V6" i="1"/>
  <c r="K14" i="1"/>
  <c r="X9" i="1"/>
  <c r="V17" i="1" l="1"/>
  <c r="V16" i="1"/>
  <c r="V14" i="1"/>
  <c r="V15" i="1"/>
  <c r="V13" i="1"/>
  <c r="V18" i="1"/>
  <c r="V9" i="1"/>
  <c r="T9" i="1"/>
  <c r="X22" i="1"/>
  <c r="X24" i="1" s="1"/>
  <c r="X26" i="1" s="1"/>
  <c r="T22" i="1" l="1"/>
  <c r="T24" i="1" s="1"/>
  <c r="T26" i="1" s="1"/>
  <c r="V22" i="1"/>
  <c r="V24" i="1" s="1"/>
  <c r="V26" i="1" s="1"/>
</calcChain>
</file>

<file path=xl/sharedStrings.xml><?xml version="1.0" encoding="utf-8"?>
<sst xmlns="http://schemas.openxmlformats.org/spreadsheetml/2006/main" count="37" uniqueCount="33">
  <si>
    <t>COMPARABLE COMPANIES ANALYSIS</t>
  </si>
  <si>
    <t>MARKET DATA</t>
  </si>
  <si>
    <t>FINANCIALS</t>
  </si>
  <si>
    <t>VALUATION</t>
  </si>
  <si>
    <t>COMPANY</t>
  </si>
  <si>
    <t>SHARE PRICE(IN RS)</t>
  </si>
  <si>
    <t>SHARES OUTS.</t>
  </si>
  <si>
    <t>MARKET CAP</t>
  </si>
  <si>
    <t>NET DEBT</t>
  </si>
  <si>
    <t xml:space="preserve">ENTERPRISE VALUE </t>
  </si>
  <si>
    <t>REVENUE</t>
  </si>
  <si>
    <t>EBIDTA</t>
  </si>
  <si>
    <t>NET PROFIT</t>
  </si>
  <si>
    <t>EV/REVENUE</t>
  </si>
  <si>
    <t>EV/EBIDTA</t>
  </si>
  <si>
    <t>P/E</t>
  </si>
  <si>
    <t>Pidilite</t>
  </si>
  <si>
    <t>HIGH</t>
  </si>
  <si>
    <t>75TH PERCENTILE</t>
  </si>
  <si>
    <t>AVERAGE</t>
  </si>
  <si>
    <t>MEDIAN</t>
  </si>
  <si>
    <t>25TH PERCENTILE</t>
  </si>
  <si>
    <t>LOW</t>
  </si>
  <si>
    <t>IMPLIED ENTERPRISE VALUE</t>
  </si>
  <si>
    <t>IMPLIED MARKET VALUE</t>
  </si>
  <si>
    <t>SHARES OUTSTANDING</t>
  </si>
  <si>
    <t>IMPLIED VALUE PER SHARE</t>
  </si>
  <si>
    <t>*ALL VALUES ARE LISTED IN CRORE RUPEES UNLESS OTHERWISE MENTIONED</t>
  </si>
  <si>
    <t>SRF</t>
  </si>
  <si>
    <t>3M INDIA</t>
  </si>
  <si>
    <t>ASIAN PAINTS</t>
  </si>
  <si>
    <t>AARTI INDUSTRIES</t>
  </si>
  <si>
    <t>PIDLITE VALUATION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</si>
</sst>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8" formatCode="&quot;₹&quot;\ #,##0.00;[Red]&quot;₹&quot;\ \-#,##0.0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3" fontId="0" fillId="2" borderId="0" xfId="0" applyNumberFormat="1" applyFill="1"/>
    <xf numFmtId="0" fontId="0" fillId="3" borderId="0" xfId="0" applyFill="1"/>
    <xf numFmtId="4" fontId="0" fillId="2" borderId="0" xfId="0" applyNumberFormat="1" applyFill="1"/>
    <xf numFmtId="0" fontId="0" fillId="0" borderId="0" xfId="0" applyFill="1"/>
    <xf numFmtId="8" fontId="0" fillId="0" borderId="0" xfId="0" applyNumberFormat="1" applyFill="1"/>
    <xf numFmtId="3" fontId="0" fillId="0" borderId="0" xfId="0" applyNumberFormat="1" applyFill="1"/>
    <xf numFmtId="4" fontId="0" fillId="0" borderId="0" xfId="0" applyNumberFormat="1" applyFill="1"/>
    <xf numFmtId="6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09177-CA52-4EAB-BDF3-A9D0FFC5936F}">
  <dimension ref="A1:Y29"/>
  <sheetViews>
    <sheetView tabSelected="1" workbookViewId="0">
      <selection activeCell="F12" sqref="F12"/>
    </sheetView>
  </sheetViews>
  <sheetFormatPr defaultRowHeight="14.5" x14ac:dyDescent="0.35"/>
  <cols>
    <col min="3" max="3" width="10.36328125" customWidth="1"/>
    <col min="7" max="7" width="10.453125" customWidth="1"/>
  </cols>
  <sheetData>
    <row r="1" spans="1:24" x14ac:dyDescent="0.35">
      <c r="A1" t="s">
        <v>0</v>
      </c>
    </row>
    <row r="2" spans="1:24" x14ac:dyDescent="0.35">
      <c r="H2" t="s">
        <v>1</v>
      </c>
      <c r="O2" t="s">
        <v>2</v>
      </c>
      <c r="U2" t="s">
        <v>3</v>
      </c>
    </row>
    <row r="3" spans="1:24" x14ac:dyDescent="0.35">
      <c r="A3" t="s">
        <v>4</v>
      </c>
      <c r="C3" s="5" t="s">
        <v>5</v>
      </c>
      <c r="D3" s="5"/>
      <c r="E3" s="5" t="s">
        <v>6</v>
      </c>
      <c r="F3" s="5"/>
      <c r="G3" s="5" t="s">
        <v>7</v>
      </c>
      <c r="H3" s="5"/>
      <c r="I3" s="5" t="s">
        <v>8</v>
      </c>
      <c r="J3" s="5"/>
      <c r="K3" s="5" t="s">
        <v>9</v>
      </c>
      <c r="L3" s="5"/>
      <c r="M3" s="5"/>
      <c r="N3" s="5" t="s">
        <v>10</v>
      </c>
      <c r="O3" s="5"/>
      <c r="P3" s="5" t="s">
        <v>11</v>
      </c>
      <c r="Q3" s="5"/>
      <c r="R3" s="5" t="s">
        <v>12</v>
      </c>
      <c r="T3" s="1" t="s">
        <v>13</v>
      </c>
      <c r="U3" s="1"/>
      <c r="V3" s="1" t="s">
        <v>14</v>
      </c>
      <c r="W3" s="1"/>
      <c r="X3" s="1" t="s">
        <v>15</v>
      </c>
    </row>
    <row r="4" spans="1:24" x14ac:dyDescent="0.35"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T4" s="1"/>
      <c r="U4" s="1"/>
      <c r="V4" s="1"/>
      <c r="W4" s="1"/>
      <c r="X4" s="1"/>
    </row>
    <row r="5" spans="1:24" x14ac:dyDescent="0.35">
      <c r="A5" t="s">
        <v>16</v>
      </c>
      <c r="C5" s="6">
        <v>2849.3</v>
      </c>
      <c r="D5" s="5"/>
      <c r="E5" s="5">
        <v>50.86</v>
      </c>
      <c r="F5" s="5"/>
      <c r="G5" s="7">
        <v>144929</v>
      </c>
      <c r="H5" s="5"/>
      <c r="I5" s="7">
        <v>-3351</v>
      </c>
      <c r="J5" s="5"/>
      <c r="K5" s="7">
        <f>G5+I5</f>
        <v>141578</v>
      </c>
      <c r="L5" s="5"/>
      <c r="M5" s="5"/>
      <c r="N5" s="8">
        <v>13140.31</v>
      </c>
      <c r="O5" s="5"/>
      <c r="P5" s="8">
        <v>3009.23</v>
      </c>
      <c r="Q5" s="5"/>
      <c r="R5" s="8">
        <v>2096.17</v>
      </c>
      <c r="T5" s="1">
        <f t="shared" ref="T5:T10" si="0">K5/N5</f>
        <v>10.774327241899163</v>
      </c>
      <c r="U5" s="1"/>
      <c r="V5" s="1">
        <f t="shared" ref="V5:V10" si="1">K5/P5</f>
        <v>47.047915912043948</v>
      </c>
      <c r="W5" s="1"/>
      <c r="X5" s="1">
        <f t="shared" ref="X5:X10" si="2">G5/R5</f>
        <v>69.139907545666617</v>
      </c>
    </row>
    <row r="6" spans="1:24" x14ac:dyDescent="0.35">
      <c r="A6" t="s">
        <v>28</v>
      </c>
      <c r="C6" s="6">
        <v>2879.5</v>
      </c>
      <c r="D6" s="5"/>
      <c r="E6" s="5">
        <v>29.64</v>
      </c>
      <c r="F6" s="5"/>
      <c r="G6" s="7">
        <f>E6*C6</f>
        <v>85348.38</v>
      </c>
      <c r="H6" s="5"/>
      <c r="I6" s="8">
        <v>3612.08</v>
      </c>
      <c r="J6" s="5"/>
      <c r="K6" s="7">
        <f>G6+I6</f>
        <v>88960.46</v>
      </c>
      <c r="L6" s="5"/>
      <c r="M6" s="5"/>
      <c r="N6" s="8">
        <v>14693.07</v>
      </c>
      <c r="O6" s="5"/>
      <c r="P6" s="8">
        <v>2851.16</v>
      </c>
      <c r="Q6" s="5"/>
      <c r="R6" s="8">
        <v>1250.78</v>
      </c>
      <c r="T6" s="1">
        <f t="shared" si="0"/>
        <v>6.0545862777486263</v>
      </c>
      <c r="U6" s="1"/>
      <c r="V6" s="1">
        <f t="shared" si="1"/>
        <v>31.201496934581016</v>
      </c>
      <c r="W6" s="1"/>
      <c r="X6" s="1">
        <f t="shared" si="2"/>
        <v>68.236124658213285</v>
      </c>
    </row>
    <row r="7" spans="1:24" x14ac:dyDescent="0.35">
      <c r="A7" t="s">
        <v>29</v>
      </c>
      <c r="C7" s="9">
        <v>34924</v>
      </c>
      <c r="D7" s="5"/>
      <c r="E7" s="5">
        <v>1.1299999999999999</v>
      </c>
      <c r="F7" s="5"/>
      <c r="G7" s="7">
        <v>39342</v>
      </c>
      <c r="H7" s="5"/>
      <c r="I7" s="5">
        <v>-838</v>
      </c>
      <c r="J7" s="5"/>
      <c r="K7" s="7">
        <f>G7+I7</f>
        <v>38504</v>
      </c>
      <c r="L7" s="5"/>
      <c r="M7" s="5"/>
      <c r="N7" s="7">
        <v>4446</v>
      </c>
      <c r="O7" s="5"/>
      <c r="P7" s="5">
        <v>840</v>
      </c>
      <c r="Q7" s="5"/>
      <c r="R7" s="5">
        <v>476</v>
      </c>
      <c r="T7" s="1">
        <f t="shared" si="0"/>
        <v>8.6603688708951871</v>
      </c>
      <c r="U7" s="1"/>
      <c r="V7" s="1">
        <f t="shared" si="1"/>
        <v>45.838095238095235</v>
      </c>
      <c r="W7" s="1"/>
      <c r="X7" s="1">
        <f t="shared" si="2"/>
        <v>82.651260504201687</v>
      </c>
    </row>
    <row r="8" spans="1:24" x14ac:dyDescent="0.35">
      <c r="A8" t="s">
        <v>30</v>
      </c>
      <c r="C8" s="6">
        <v>2337.6999999999998</v>
      </c>
      <c r="D8" s="5"/>
      <c r="E8" s="5">
        <v>95.92</v>
      </c>
      <c r="F8" s="5"/>
      <c r="G8" s="5">
        <f>C8*E8</f>
        <v>224232.18399999998</v>
      </c>
      <c r="H8" s="5"/>
      <c r="I8" s="7">
        <v>-3163</v>
      </c>
      <c r="J8" s="5"/>
      <c r="K8" s="7">
        <f>G8+I8</f>
        <v>221069.18399999998</v>
      </c>
      <c r="L8" s="5"/>
      <c r="M8" s="5"/>
      <c r="N8" s="8">
        <v>33905.620000000003</v>
      </c>
      <c r="O8" s="5"/>
      <c r="P8" s="8">
        <v>6578.82</v>
      </c>
      <c r="Q8" s="5"/>
      <c r="R8" s="8">
        <v>3709.71</v>
      </c>
      <c r="T8" s="1">
        <f t="shared" si="0"/>
        <v>6.520133948295296</v>
      </c>
      <c r="U8" s="1"/>
      <c r="V8" s="1">
        <f t="shared" si="1"/>
        <v>33.603166525303926</v>
      </c>
      <c r="W8" s="1"/>
      <c r="X8" s="1">
        <f t="shared" si="2"/>
        <v>60.444666564232776</v>
      </c>
    </row>
    <row r="9" spans="1:24" x14ac:dyDescent="0.35">
      <c r="A9" t="s">
        <v>31</v>
      </c>
      <c r="C9" s="6">
        <v>390.5</v>
      </c>
      <c r="D9" s="5"/>
      <c r="E9" s="5">
        <v>36.25</v>
      </c>
      <c r="F9" s="5"/>
      <c r="G9" s="7">
        <v>14156</v>
      </c>
      <c r="H9" s="5"/>
      <c r="I9" s="7">
        <v>3492</v>
      </c>
      <c r="J9" s="5"/>
      <c r="K9" s="7">
        <f>G9+I9</f>
        <v>17648</v>
      </c>
      <c r="L9" s="5"/>
      <c r="M9" s="5"/>
      <c r="N9" s="7">
        <v>8046</v>
      </c>
      <c r="O9" s="5"/>
      <c r="P9" s="7">
        <v>1016</v>
      </c>
      <c r="Q9" s="5"/>
      <c r="R9" s="5">
        <v>331</v>
      </c>
      <c r="T9" s="1">
        <f t="shared" si="0"/>
        <v>2.1933880188913748</v>
      </c>
      <c r="U9" s="1"/>
      <c r="V9" s="1">
        <f t="shared" si="1"/>
        <v>17.370078740157481</v>
      </c>
      <c r="W9" s="1"/>
      <c r="X9" s="1">
        <f t="shared" si="2"/>
        <v>42.76737160120846</v>
      </c>
    </row>
    <row r="10" spans="1:24" x14ac:dyDescent="0.35"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3" spans="1:24" x14ac:dyDescent="0.35">
      <c r="A13" t="s">
        <v>17</v>
      </c>
      <c r="G13" s="8">
        <f>MAX(G6:G9)</f>
        <v>224232.18399999998</v>
      </c>
      <c r="H13" s="5"/>
      <c r="I13" s="8">
        <f>MAX(I6:I9)</f>
        <v>3612.08</v>
      </c>
      <c r="J13" s="5"/>
      <c r="K13" s="7">
        <f>MAX(K6:K9)</f>
        <v>221069.18399999998</v>
      </c>
      <c r="L13" s="5"/>
      <c r="M13" s="5"/>
      <c r="N13" s="8">
        <f>MAX(N6:N9)</f>
        <v>33905.620000000003</v>
      </c>
      <c r="O13" s="5"/>
      <c r="P13" s="8">
        <f>MAX(P6:P9)</f>
        <v>6578.82</v>
      </c>
      <c r="Q13" s="5"/>
      <c r="R13" s="8">
        <f>MAX(R6:R9)</f>
        <v>3709.71</v>
      </c>
      <c r="S13" s="5"/>
      <c r="T13" s="5">
        <f>MAX(T6:T9)</f>
        <v>8.6603688708951871</v>
      </c>
      <c r="U13" s="5"/>
      <c r="V13" s="5">
        <f>MAX(V6:V9)</f>
        <v>45.838095238095235</v>
      </c>
      <c r="W13" s="5"/>
      <c r="X13" s="5">
        <f>MAX(X6:X9)</f>
        <v>82.651260504201687</v>
      </c>
    </row>
    <row r="14" spans="1:24" x14ac:dyDescent="0.35">
      <c r="A14" t="s">
        <v>18</v>
      </c>
      <c r="G14" s="5">
        <f>_xlfn.PERCENTILE.INC(G6:G9,0.75)</f>
        <v>120069.33100000001</v>
      </c>
      <c r="H14" s="5"/>
      <c r="I14" s="5">
        <f>_xlfn.PERCENTILE.INC(I6:I9,0.75)</f>
        <v>3522.02</v>
      </c>
      <c r="J14" s="5"/>
      <c r="K14" s="5">
        <f>_xlfn.PERCENTILE.INC(K6:K9,0.75)</f>
        <v>121987.641</v>
      </c>
      <c r="L14" s="5"/>
      <c r="M14" s="5"/>
      <c r="N14" s="5">
        <f>_xlfn.PERCENTILE.INC(N6:N9,0.75)</f>
        <v>19496.2075</v>
      </c>
      <c r="O14" s="5"/>
      <c r="P14" s="5">
        <f>_xlfn.PERCENTILE.INC(P7:P9,0.75)</f>
        <v>3797.41</v>
      </c>
      <c r="Q14" s="5"/>
      <c r="R14" s="5">
        <f>_xlfn.PERCENTILE.INC(R6:R9,0.75)</f>
        <v>1865.5125</v>
      </c>
      <c r="S14" s="5"/>
      <c r="T14" s="5">
        <f>_xlfn.PERCENTILE.INC(T6:T9,0.75)</f>
        <v>7.0551926789452688</v>
      </c>
      <c r="U14" s="5"/>
      <c r="V14" s="5">
        <f>_xlfn.PERCENTILE.INC(V6:V9,0.75)</f>
        <v>36.661898703501755</v>
      </c>
      <c r="W14" s="5"/>
      <c r="X14" s="5">
        <f>_xlfn.PERCENTILE.INC(X6:X9,0.75)</f>
        <v>71.839908619710386</v>
      </c>
    </row>
    <row r="15" spans="1:24" x14ac:dyDescent="0.35">
      <c r="A15" t="s">
        <v>19</v>
      </c>
      <c r="G15" s="8">
        <f>AVERAGE(G6:G9)</f>
        <v>90769.641000000003</v>
      </c>
      <c r="H15" s="5"/>
      <c r="I15" s="8">
        <f>AVERAGE(I6:I9)</f>
        <v>775.77</v>
      </c>
      <c r="J15" s="5"/>
      <c r="K15" s="7">
        <f>AVERAGE(K6:K9)</f>
        <v>91545.410999999993</v>
      </c>
      <c r="L15" s="5"/>
      <c r="M15" s="5"/>
      <c r="N15" s="8">
        <f>AVERAGE(N6:N9)</f>
        <v>15272.672500000001</v>
      </c>
      <c r="O15" s="5"/>
      <c r="P15" s="8">
        <f>AVERAGE(P6:P9)</f>
        <v>2821.4949999999999</v>
      </c>
      <c r="Q15" s="5"/>
      <c r="R15" s="8">
        <f>AVERAGE(R6:R9)</f>
        <v>1441.8724999999999</v>
      </c>
      <c r="S15" s="5"/>
      <c r="T15" s="5">
        <f>AVERAGE(T6:T9)</f>
        <v>5.8571192789576214</v>
      </c>
      <c r="U15" s="5"/>
      <c r="V15" s="5">
        <f>AVERAGE(V6:V9)</f>
        <v>32.003209359534416</v>
      </c>
      <c r="W15" s="5"/>
      <c r="X15" s="5">
        <f>AVERAGE(X6:X9)</f>
        <v>63.524855831964054</v>
      </c>
    </row>
    <row r="16" spans="1:24" x14ac:dyDescent="0.35">
      <c r="A16" t="s">
        <v>20</v>
      </c>
      <c r="G16" s="4">
        <f>MEDIAN(G6:G9)</f>
        <v>62345.19</v>
      </c>
      <c r="H16" s="1"/>
      <c r="I16" s="4">
        <f>MEDIAN(I6:I9)</f>
        <v>1327</v>
      </c>
      <c r="J16" s="1"/>
      <c r="K16" s="2">
        <f>MEDIAN(K6:K9)</f>
        <v>63732.23</v>
      </c>
      <c r="L16" s="1"/>
      <c r="M16" s="1"/>
      <c r="N16" s="4">
        <f>MEDIAN(N6:N9)</f>
        <v>11369.535</v>
      </c>
      <c r="O16" s="1"/>
      <c r="P16" s="4">
        <f>MEDIAN(P6:P9)</f>
        <v>1933.58</v>
      </c>
      <c r="Q16" s="1"/>
      <c r="R16" s="4">
        <f>MEDIAN(R6:R9)</f>
        <v>863.39</v>
      </c>
      <c r="S16" s="1"/>
      <c r="T16" s="1">
        <f>MEDIAN(T6:T9)</f>
        <v>6.2873601130219612</v>
      </c>
      <c r="U16" s="1"/>
      <c r="V16" s="1">
        <f>MEDIAN(V6:V9)</f>
        <v>32.402331729942475</v>
      </c>
      <c r="W16" s="1"/>
      <c r="X16" s="1">
        <f>MEDIAN(X6:X9)</f>
        <v>64.34039561122303</v>
      </c>
    </row>
    <row r="17" spans="1:25" x14ac:dyDescent="0.35">
      <c r="A17" t="s">
        <v>21</v>
      </c>
      <c r="G17" s="5">
        <f>_xlfn.PERCENTILE.INC(G6:G9,0.25)</f>
        <v>33045.5</v>
      </c>
      <c r="H17" s="5"/>
      <c r="I17" s="5">
        <f>_xlfn.PERCENTILE.INC(I6:I9,0.25)</f>
        <v>-1419.25</v>
      </c>
      <c r="J17" s="5"/>
      <c r="K17" s="5">
        <f>_xlfn.PERCENTILE.INC(K6:K9,0.25)</f>
        <v>33290</v>
      </c>
      <c r="L17" s="5"/>
      <c r="M17" s="5"/>
      <c r="N17" s="5">
        <f>_xlfn.PERCENTILE.INC(N6:N9,0.25)</f>
        <v>7146</v>
      </c>
      <c r="O17" s="5"/>
      <c r="P17" s="5">
        <f>_xlfn.PERCENTILE.INC(P6:P9,0.25)</f>
        <v>972</v>
      </c>
      <c r="Q17" s="5"/>
      <c r="R17" s="5">
        <f>_xlfn.PERCENTILE.INC(R6:R9,0.25)</f>
        <v>439.75</v>
      </c>
      <c r="S17" s="5"/>
      <c r="T17" s="5">
        <f>_xlfn.PERCENTILE.INC(T6:T9,0.25)</f>
        <v>5.0892867130343138</v>
      </c>
      <c r="U17" s="5"/>
      <c r="V17" s="5">
        <f>_xlfn.PERCENTILE.INC(V6:V9,0.25)</f>
        <v>27.743642385975132</v>
      </c>
      <c r="W17" s="5"/>
      <c r="X17" s="5">
        <f>_xlfn.PERCENTILE.INC(X6:X9,0.25)</f>
        <v>56.025342823476699</v>
      </c>
    </row>
    <row r="18" spans="1:25" x14ac:dyDescent="0.35">
      <c r="A18" t="s">
        <v>22</v>
      </c>
      <c r="G18" s="8">
        <f>MIN(G6:G9)</f>
        <v>14156</v>
      </c>
      <c r="H18" s="5"/>
      <c r="I18" s="8">
        <f>MIN(I6:I9)</f>
        <v>-3163</v>
      </c>
      <c r="J18" s="5"/>
      <c r="K18" s="7">
        <f>MIN(K6:K9)</f>
        <v>17648</v>
      </c>
      <c r="L18" s="5"/>
      <c r="M18" s="5"/>
      <c r="N18" s="8">
        <f>MIN(N6:N9)</f>
        <v>4446</v>
      </c>
      <c r="O18" s="5"/>
      <c r="P18" s="8">
        <f>MIN(P6:P9)</f>
        <v>840</v>
      </c>
      <c r="Q18" s="5"/>
      <c r="R18" s="8">
        <f>MIN(R6:R9)</f>
        <v>331</v>
      </c>
      <c r="S18" s="5"/>
      <c r="T18" s="5">
        <f>MIN(T6:T9)</f>
        <v>2.1933880188913748</v>
      </c>
      <c r="U18" s="5"/>
      <c r="V18" s="5">
        <f>MIN(V6:V9)</f>
        <v>17.370078740157481</v>
      </c>
      <c r="W18" s="5"/>
      <c r="X18" s="5">
        <f>MIN(X6:X9)</f>
        <v>42.76737160120846</v>
      </c>
    </row>
    <row r="20" spans="1:25" x14ac:dyDescent="0.35">
      <c r="A20" t="s">
        <v>32</v>
      </c>
      <c r="S20" s="1"/>
      <c r="T20" s="1"/>
      <c r="U20" s="1"/>
      <c r="V20" s="1"/>
      <c r="W20" s="1"/>
      <c r="X20" s="1"/>
      <c r="Y20" s="1"/>
    </row>
    <row r="21" spans="1:25" x14ac:dyDescent="0.35">
      <c r="S21" s="1"/>
      <c r="T21" s="1" t="s">
        <v>13</v>
      </c>
      <c r="U21" s="1"/>
      <c r="V21" s="1" t="s">
        <v>14</v>
      </c>
      <c r="W21" s="1"/>
      <c r="X21" s="1" t="s">
        <v>15</v>
      </c>
      <c r="Y21" s="1"/>
    </row>
    <row r="22" spans="1:25" x14ac:dyDescent="0.35">
      <c r="A22" t="s">
        <v>23</v>
      </c>
      <c r="S22" s="1"/>
      <c r="T22" s="1">
        <f>T16*N5</f>
        <v>82617.86096674361</v>
      </c>
      <c r="U22" s="1"/>
      <c r="V22" s="1">
        <f>V16*P5</f>
        <v>97506.068711694796</v>
      </c>
      <c r="W22" s="1"/>
      <c r="X22" s="1">
        <f>X16*R5</f>
        <v>134868.40706837739</v>
      </c>
      <c r="Y22" s="1"/>
    </row>
    <row r="23" spans="1:25" x14ac:dyDescent="0.35">
      <c r="A23" t="s">
        <v>8</v>
      </c>
      <c r="S23" s="1"/>
      <c r="T23" s="2">
        <f>I5</f>
        <v>-3351</v>
      </c>
      <c r="U23" s="1"/>
      <c r="V23" s="2">
        <f>I5</f>
        <v>-3351</v>
      </c>
      <c r="W23" s="1"/>
      <c r="X23" s="2">
        <f>I5</f>
        <v>-3351</v>
      </c>
      <c r="Y23" s="1"/>
    </row>
    <row r="24" spans="1:25" x14ac:dyDescent="0.35">
      <c r="A24" t="s">
        <v>24</v>
      </c>
      <c r="S24" s="1"/>
      <c r="T24" s="1">
        <f>T22-T23</f>
        <v>85968.86096674361</v>
      </c>
      <c r="U24" s="1"/>
      <c r="V24" s="1">
        <f>V22-V23</f>
        <v>100857.0687116948</v>
      </c>
      <c r="W24" s="1"/>
      <c r="X24" s="1">
        <f>X22-X23</f>
        <v>138219.40706837739</v>
      </c>
      <c r="Y24" s="1"/>
    </row>
    <row r="25" spans="1:25" x14ac:dyDescent="0.35">
      <c r="A25" t="s">
        <v>25</v>
      </c>
      <c r="S25" s="1"/>
      <c r="T25" s="1">
        <f>E5</f>
        <v>50.86</v>
      </c>
      <c r="U25" s="1"/>
      <c r="V25" s="1">
        <f>E5</f>
        <v>50.86</v>
      </c>
      <c r="W25" s="1"/>
      <c r="X25" s="1">
        <f>E5</f>
        <v>50.86</v>
      </c>
      <c r="Y25" s="1"/>
    </row>
    <row r="26" spans="1:25" x14ac:dyDescent="0.35">
      <c r="A26" t="s">
        <v>26</v>
      </c>
      <c r="S26" s="3"/>
      <c r="T26" s="3">
        <f>T24/T25</f>
        <v>1690.3039906949195</v>
      </c>
      <c r="U26" s="3"/>
      <c r="V26" s="3">
        <f>V24/V25</f>
        <v>1983.0332031398898</v>
      </c>
      <c r="W26" s="3"/>
      <c r="X26" s="3">
        <f>X24/X25</f>
        <v>2717.6446533302674</v>
      </c>
      <c r="Y26" s="3"/>
    </row>
    <row r="29" spans="1:25" x14ac:dyDescent="0.35">
      <c r="A2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Manvi Mishra</dc:creator>
  <cp:lastModifiedBy>Manvi Mishra</cp:lastModifiedBy>
  <dcterms:created xsi:type="dcterms:W3CDTF">2026-01-01T14:16:20Z</dcterms:created>
  <dcterms:modified xsi:type="dcterms:W3CDTF">2026-01-01T16:52:28Z</dcterms:modified>
</cp:coreProperties>
</file>