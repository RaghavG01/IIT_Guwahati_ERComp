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ddh\Downloads\"/>
    </mc:Choice>
  </mc:AlternateContent>
  <xr:revisionPtr revIDLastSave="0" documentId="13_ncr:1_{4030977F-C052-4145-90A0-456899DDA3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" sheetId="11" r:id="rId1"/>
    <sheet name="Sheet3" sheetId="10" r:id="rId2"/>
    <sheet name="WACC" sheetId="2" r:id="rId3"/>
    <sheet name="Terminal Value" sheetId="3" r:id="rId4"/>
    <sheet name="Discounting" sheetId="4" r:id="rId5"/>
    <sheet name="EV to Equity Value" sheetId="5" r:id="rId6"/>
  </sheets>
  <calcPr calcId="191029"/>
  <extLst>
    <ext uri="GoogleSheetsCustomDataVersion1">
      <go:sheetsCustomData xmlns:go="http://customooxmlschemas.google.com/" r:id="rId10" roundtripDataSignature="AMtx7mhkXNOltox9YMHCTh0RRGzBAsJ9og=="/>
    </ext>
  </extLst>
</workbook>
</file>

<file path=xl/calcChain.xml><?xml version="1.0" encoding="utf-8"?>
<calcChain xmlns="http://schemas.openxmlformats.org/spreadsheetml/2006/main">
  <c r="G9" i="4" l="1"/>
  <c r="G13" i="4" s="1"/>
  <c r="C15" i="4" s="1"/>
  <c r="C5" i="5" s="1"/>
  <c r="C9" i="5" s="1"/>
  <c r="C12" i="5" s="1"/>
  <c r="D10" i="11"/>
  <c r="C10" i="11"/>
  <c r="D7" i="11" s="1"/>
  <c r="C8" i="5"/>
  <c r="C7" i="5"/>
  <c r="C6" i="5"/>
  <c r="E12" i="4"/>
  <c r="F12" i="4"/>
  <c r="G12" i="4"/>
  <c r="D12" i="4"/>
  <c r="G10" i="4"/>
  <c r="F10" i="4"/>
  <c r="E10" i="4"/>
  <c r="D10" i="4"/>
  <c r="C14" i="2"/>
  <c r="C11" i="2"/>
  <c r="C13" i="2" s="1"/>
  <c r="C15" i="2" s="1"/>
  <c r="C5" i="3" s="1"/>
  <c r="H13" i="3" s="1"/>
  <c r="H41" i="10"/>
  <c r="C25" i="11"/>
  <c r="C20" i="11"/>
  <c r="H40" i="10"/>
  <c r="C20" i="10"/>
  <c r="D20" i="10"/>
  <c r="E20" i="10"/>
  <c r="F20" i="10"/>
  <c r="G20" i="10"/>
  <c r="H20" i="10"/>
  <c r="I20" i="10"/>
  <c r="J20" i="10"/>
  <c r="K20" i="10"/>
  <c r="B20" i="10"/>
  <c r="E21" i="11"/>
  <c r="F21" i="11" s="1"/>
  <c r="G21" i="11" s="1"/>
  <c r="D21" i="11"/>
  <c r="C21" i="11"/>
  <c r="D29" i="10"/>
  <c r="E29" i="10"/>
  <c r="F29" i="10"/>
  <c r="H38" i="10" s="1"/>
  <c r="G29" i="10"/>
  <c r="H29" i="10"/>
  <c r="I29" i="10"/>
  <c r="J29" i="10"/>
  <c r="K29" i="10"/>
  <c r="C29" i="10"/>
  <c r="C19" i="11"/>
  <c r="C22" i="11" s="1"/>
  <c r="C23" i="11" s="1"/>
  <c r="C9" i="11"/>
  <c r="C54" i="10"/>
  <c r="D54" i="10"/>
  <c r="E54" i="10"/>
  <c r="F54" i="10"/>
  <c r="G54" i="10"/>
  <c r="H54" i="10"/>
  <c r="I54" i="10"/>
  <c r="J54" i="10"/>
  <c r="K54" i="10"/>
  <c r="B54" i="10"/>
  <c r="D98" i="10"/>
  <c r="E98" i="10"/>
  <c r="F98" i="10"/>
  <c r="G98" i="10"/>
  <c r="H98" i="10"/>
  <c r="I98" i="10"/>
  <c r="J98" i="10"/>
  <c r="K98" i="10"/>
  <c r="C98" i="10"/>
  <c r="C8" i="11"/>
  <c r="C32" i="10"/>
  <c r="D32" i="10"/>
  <c r="E32" i="10"/>
  <c r="F32" i="10"/>
  <c r="G32" i="10"/>
  <c r="H32" i="10"/>
  <c r="I32" i="10"/>
  <c r="J32" i="10"/>
  <c r="K32" i="10"/>
  <c r="B32" i="10"/>
  <c r="B6" i="10"/>
  <c r="E1" i="10"/>
  <c r="D6" i="11" l="1"/>
  <c r="G101" i="10"/>
  <c r="E55" i="10"/>
  <c r="H37" i="10"/>
  <c r="D9" i="11" l="1"/>
  <c r="D8" i="11"/>
  <c r="D19" i="11"/>
  <c r="D20" i="11"/>
  <c r="D25" i="11" l="1"/>
  <c r="E7" i="11"/>
  <c r="E6" i="11"/>
  <c r="D22" i="11"/>
  <c r="D23" i="11" s="1"/>
  <c r="E20" i="11" l="1"/>
  <c r="E8" i="11"/>
  <c r="E10" i="11" s="1"/>
  <c r="E19" i="11"/>
  <c r="E9" i="11"/>
  <c r="F7" i="11" l="1"/>
  <c r="F6" i="11"/>
  <c r="E22" i="11"/>
  <c r="E23" i="11" s="1"/>
  <c r="E25" i="11" s="1"/>
  <c r="F19" i="11" l="1"/>
  <c r="F20" i="11"/>
  <c r="F8" i="11"/>
  <c r="F10" i="11" s="1"/>
  <c r="F9" i="11"/>
  <c r="G6" i="11" l="1"/>
  <c r="G7" i="11"/>
  <c r="F22" i="11"/>
  <c r="F23" i="11" s="1"/>
  <c r="F25" i="11" s="1"/>
  <c r="G20" i="11" l="1"/>
  <c r="G19" i="11"/>
  <c r="G8" i="11"/>
  <c r="G10" i="11" s="1"/>
  <c r="G9" i="11"/>
  <c r="G22" i="11" l="1"/>
  <c r="G23" i="11" s="1"/>
  <c r="G25" i="11" s="1"/>
</calcChain>
</file>

<file path=xl/sharedStrings.xml><?xml version="1.0" encoding="utf-8"?>
<sst xmlns="http://schemas.openxmlformats.org/spreadsheetml/2006/main" count="141" uniqueCount="118">
  <si>
    <t>Assumptions</t>
  </si>
  <si>
    <t>EBIT</t>
  </si>
  <si>
    <t>Tax Rate %</t>
  </si>
  <si>
    <t>Depreciation</t>
  </si>
  <si>
    <t>CapEx</t>
  </si>
  <si>
    <t>Free Cash Flow</t>
  </si>
  <si>
    <t>Tax</t>
  </si>
  <si>
    <t>D&amp;A</t>
  </si>
  <si>
    <t>WACC Calculation</t>
  </si>
  <si>
    <t>Equity value</t>
  </si>
  <si>
    <t>Debt value</t>
  </si>
  <si>
    <t>Cost of Debt</t>
  </si>
  <si>
    <t>Tax rate</t>
  </si>
  <si>
    <t>Beta</t>
  </si>
  <si>
    <t>Market Return</t>
  </si>
  <si>
    <t>Cost of Equity</t>
  </si>
  <si>
    <t>E / D +E</t>
  </si>
  <si>
    <t>D / D+E</t>
  </si>
  <si>
    <t>WACC</t>
  </si>
  <si>
    <t>Terminal Value Calculation</t>
  </si>
  <si>
    <t>Growth rate</t>
  </si>
  <si>
    <t>EV/EBITDA Multiple</t>
  </si>
  <si>
    <t>Period</t>
  </si>
  <si>
    <t>EBITDA</t>
  </si>
  <si>
    <t>Perpertuity Growth TV</t>
  </si>
  <si>
    <t>Discounting Cash Flows</t>
  </si>
  <si>
    <t>Assumption</t>
  </si>
  <si>
    <t>Terminal Value</t>
  </si>
  <si>
    <t>Discount factor</t>
  </si>
  <si>
    <t>PV of FCF</t>
  </si>
  <si>
    <t>PV of TV</t>
  </si>
  <si>
    <t>Enterprise Value</t>
  </si>
  <si>
    <t>Enterprise Value to Equity Value</t>
  </si>
  <si>
    <t>Cash</t>
  </si>
  <si>
    <t>Marketable Securities</t>
  </si>
  <si>
    <t>Equity Value</t>
  </si>
  <si>
    <t>Shares Outstanding</t>
  </si>
  <si>
    <t>Share Price</t>
  </si>
  <si>
    <t>COMPANY NAME</t>
  </si>
  <si>
    <t>PIDILITE INDUSTRIES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</si>
  <si>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</si>
  <si>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</si>
  <si>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</si>
  <si>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</si>
  <si>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</si>
  <si>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</si>
  <si>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</si>
  <si>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</si>
  <si>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</si>
  <si>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</si>
  <si>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</si>
  <si>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</si>
  <si>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</si>
  <si>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</si>
  <si>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</si>
  <si>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</si>
  <si>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</si>
  <si>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</si>
  <si>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</si>
  <si>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Interest</t>
  </si>
  <si>
    <t>Profit before 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</si>
  <si>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</si>
  <si>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</si>
  <si>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</si>
  <si>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</si>
  <si>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</si>
  <si>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</si>
  <si>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</si>
  <si>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</si>
  <si>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</si>
  <si>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</si>
  <si>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</si>
  <si>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</si>
  <si>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</si>
  <si>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</si>
  <si>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</si>
  <si>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</si>
  <si>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</si>
  <si>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</si>
  <si>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</si>
  <si>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</si>
  <si>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</si>
  <si>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</si>
  <si>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</si>
  <si>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</si>
  <si>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</si>
  <si>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</si>
  <si>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</si>
  <si>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</si>
  <si>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</si>
  <si>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Tax percent</t>
  </si>
  <si>
    <t xml:space="preserve">Average Tax Rate = </t>
  </si>
  <si>
    <t>5% of Sales</t>
  </si>
  <si>
    <t>Total Assets</t>
  </si>
  <si>
    <t>Capex</t>
  </si>
  <si>
    <t>Assest Turnover Ratio</t>
  </si>
  <si>
    <t xml:space="preserve">Average D&amp;A = </t>
  </si>
  <si>
    <t>3 % of Sales</t>
  </si>
  <si>
    <t>Total Assets For Next Year</t>
  </si>
  <si>
    <t>(From Concall)</t>
  </si>
  <si>
    <t>(Average of the previous years)</t>
  </si>
  <si>
    <t xml:space="preserve"> </t>
  </si>
  <si>
    <t>EBITDA Margins  (Conservative)</t>
  </si>
  <si>
    <t>EBITDA Margins (Base)</t>
  </si>
  <si>
    <t>EBITDA Margins (Growth)</t>
  </si>
  <si>
    <t xml:space="preserve">Non-cash Working Capital </t>
  </si>
  <si>
    <t xml:space="preserve">Average Assest Turnover </t>
  </si>
  <si>
    <t>Interest Growth</t>
  </si>
  <si>
    <t>Average Interest Growth Rate</t>
  </si>
  <si>
    <t xml:space="preserve">Interest </t>
  </si>
  <si>
    <t>Profit Before Tax</t>
  </si>
  <si>
    <t>Working Capital Changes</t>
  </si>
  <si>
    <t>% Changes wrt sales</t>
  </si>
  <si>
    <t xml:space="preserve">Average Change in </t>
  </si>
  <si>
    <t>Working capital Wrt Sale</t>
  </si>
  <si>
    <t>Average Interest growth</t>
  </si>
  <si>
    <t>Risk Free Rate</t>
  </si>
  <si>
    <t>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</si>
</sst>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,##0;\(#,##0\)"/>
    <numFmt numFmtId="166" formatCode="0.00\x"/>
    <numFmt numFmtId="167" formatCode="0.0"/>
    <numFmt numFmtId="169" formatCode="[$-409]mmm\-yy;@"/>
    <numFmt numFmtId="170" formatCode="_(* #,##0.00_);_(* \(#,##0.00\);_(* &quot;-&quot;??_);_(@_)"/>
  </numFmts>
  <fonts count="18" x14ac:knownFonts="1">
    <font>
      <sz val="12"/>
      <color theme="1"/>
      <name val="Arial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Arial"/>
      <family val="2"/>
    </font>
    <font>
      <sz val="12"/>
      <color theme="1"/>
      <name val="Calibri"/>
      <family val="2"/>
    </font>
    <font>
      <sz val="12"/>
      <color rgb="FF0432FF"/>
      <name val="Calibri"/>
      <family val="2"/>
    </font>
    <font>
      <i/>
      <sz val="12"/>
      <color theme="1"/>
      <name val="Calibri"/>
      <family val="2"/>
    </font>
    <font>
      <u/>
      <sz val="12"/>
      <color theme="10"/>
      <name val="Arial"/>
    </font>
    <font>
      <sz val="12"/>
      <color theme="1"/>
      <name val="Arial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sz val="11"/>
      <name val="Calibri"/>
      <family val="2"/>
      <scheme val="minor"/>
    </font>
    <font>
      <sz val="12"/>
      <color theme="4"/>
      <name val="Calibri"/>
      <family val="2"/>
      <scheme val="major"/>
    </font>
    <font>
      <i/>
      <sz val="12"/>
      <color theme="0"/>
      <name val="Calibri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0"/>
        <bgColor rgb="FFD9E2F3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0" fontId="8" fillId="0" borderId="0" applyNumberForma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2" fillId="3" borderId="0" applyNumberFormat="0" applyBorder="0" applyAlignment="0" applyProtection="0"/>
  </cellStyleXfs>
  <cellXfs count="52">
    <xf numFmtId="0" fontId="0" fillId="0" borderId="0" xfId="0"/>
    <xf numFmtId="0" fontId="5" fillId="0" borderId="3" xfId="0" applyFont="1" applyBorder="1"/>
    <xf numFmtId="0" fontId="5" fillId="0" borderId="0" xfId="0" applyFont="1"/>
    <xf numFmtId="164" fontId="6" fillId="0" borderId="0" xfId="0" applyNumberFormat="1" applyFont="1"/>
    <xf numFmtId="164" fontId="5" fillId="0" borderId="0" xfId="0" applyNumberFormat="1" applyFont="1"/>
    <xf numFmtId="9" fontId="6" fillId="0" borderId="0" xfId="0" applyNumberFormat="1" applyFont="1"/>
    <xf numFmtId="0" fontId="3" fillId="0" borderId="5" xfId="0" applyFont="1" applyBorder="1"/>
    <xf numFmtId="0" fontId="2" fillId="0" borderId="0" xfId="0" applyFont="1"/>
    <xf numFmtId="0" fontId="6" fillId="0" borderId="0" xfId="0" applyFont="1"/>
    <xf numFmtId="0" fontId="5" fillId="0" borderId="5" xfId="0" applyFont="1" applyBorder="1"/>
    <xf numFmtId="10" fontId="6" fillId="0" borderId="0" xfId="0" applyNumberFormat="1" applyFont="1"/>
    <xf numFmtId="166" fontId="6" fillId="0" borderId="0" xfId="0" applyNumberFormat="1" applyFont="1"/>
    <xf numFmtId="0" fontId="7" fillId="2" borderId="4" xfId="0" applyFont="1" applyFill="1" applyBorder="1"/>
    <xf numFmtId="0" fontId="5" fillId="0" borderId="0" xfId="0" applyFont="1" applyAlignment="1">
      <alignment horizontal="right"/>
    </xf>
    <xf numFmtId="167" fontId="5" fillId="2" borderId="4" xfId="0" applyNumberFormat="1" applyFont="1" applyFill="1" applyBorder="1"/>
    <xf numFmtId="0" fontId="5" fillId="0" borderId="3" xfId="0" applyFont="1" applyBorder="1" applyAlignment="1">
      <alignment horizontal="right"/>
    </xf>
    <xf numFmtId="167" fontId="5" fillId="2" borderId="8" xfId="0" applyNumberFormat="1" applyFont="1" applyFill="1" applyBorder="1"/>
    <xf numFmtId="2" fontId="5" fillId="0" borderId="5" xfId="0" applyNumberFormat="1" applyFont="1" applyBorder="1"/>
    <xf numFmtId="167" fontId="5" fillId="0" borderId="5" xfId="0" applyNumberFormat="1" applyFont="1" applyBorder="1"/>
    <xf numFmtId="0" fontId="3" fillId="0" borderId="0" xfId="0" applyFont="1"/>
    <xf numFmtId="167" fontId="3" fillId="2" borderId="4" xfId="0" applyNumberFormat="1" applyFont="1" applyFill="1" applyBorder="1"/>
    <xf numFmtId="0" fontId="3" fillId="2" borderId="6" xfId="0" applyFont="1" applyFill="1" applyBorder="1"/>
    <xf numFmtId="2" fontId="3" fillId="2" borderId="6" xfId="0" applyNumberFormat="1" applyFont="1" applyFill="1" applyBorder="1"/>
    <xf numFmtId="43" fontId="1" fillId="0" borderId="4" xfId="2" applyFont="1" applyBorder="1"/>
    <xf numFmtId="43" fontId="11" fillId="0" borderId="4" xfId="2" applyFont="1" applyBorder="1"/>
    <xf numFmtId="43" fontId="0" fillId="0" borderId="4" xfId="2" applyFont="1" applyBorder="1"/>
    <xf numFmtId="169" fontId="10" fillId="4" borderId="4" xfId="2" applyNumberFormat="1" applyFont="1" applyFill="1" applyBorder="1"/>
    <xf numFmtId="169" fontId="10" fillId="4" borderId="0" xfId="0" applyNumberFormat="1" applyFont="1" applyFill="1" applyAlignment="1">
      <alignment horizontal="center"/>
    </xf>
    <xf numFmtId="169" fontId="14" fillId="0" borderId="4" xfId="2" applyNumberFormat="1" applyFont="1" applyFill="1" applyBorder="1"/>
    <xf numFmtId="170" fontId="0" fillId="0" borderId="4" xfId="2" applyNumberFormat="1" applyFont="1" applyBorder="1"/>
    <xf numFmtId="164" fontId="2" fillId="0" borderId="0" xfId="0" applyNumberFormat="1" applyFont="1"/>
    <xf numFmtId="0" fontId="13" fillId="0" borderId="0" xfId="0" applyFont="1"/>
    <xf numFmtId="43" fontId="13" fillId="0" borderId="4" xfId="2" applyFont="1" applyBorder="1"/>
    <xf numFmtId="9" fontId="0" fillId="0" borderId="0" xfId="0" applyNumberFormat="1"/>
    <xf numFmtId="3" fontId="6" fillId="0" borderId="0" xfId="0" applyNumberFormat="1" applyFont="1"/>
    <xf numFmtId="2" fontId="6" fillId="0" borderId="0" xfId="0" applyNumberFormat="1" applyFont="1"/>
    <xf numFmtId="2" fontId="0" fillId="0" borderId="0" xfId="0" applyNumberFormat="1"/>
    <xf numFmtId="10" fontId="5" fillId="0" borderId="0" xfId="0" applyNumberFormat="1" applyFont="1"/>
    <xf numFmtId="10" fontId="3" fillId="2" borderId="6" xfId="0" applyNumberFormat="1" applyFont="1" applyFill="1" applyBorder="1"/>
    <xf numFmtId="0" fontId="15" fillId="0" borderId="0" xfId="0" applyFont="1"/>
    <xf numFmtId="0" fontId="16" fillId="5" borderId="4" xfId="0" applyFont="1" applyFill="1" applyBorder="1"/>
    <xf numFmtId="2" fontId="2" fillId="0" borderId="5" xfId="0" applyNumberFormat="1" applyFont="1" applyBorder="1"/>
    <xf numFmtId="0" fontId="7" fillId="5" borderId="4" xfId="0" applyFont="1" applyFill="1" applyBorder="1"/>
    <xf numFmtId="10" fontId="5" fillId="0" borderId="5" xfId="3" applyNumberFormat="1" applyFont="1" applyBorder="1"/>
    <xf numFmtId="0" fontId="6" fillId="0" borderId="0" xfId="0" quotePrefix="1" applyFont="1"/>
    <xf numFmtId="0" fontId="17" fillId="0" borderId="0" xfId="0" applyFont="1"/>
    <xf numFmtId="43" fontId="8" fillId="0" borderId="4" xfId="1" applyNumberFormat="1" applyBorder="1" applyAlignment="1" applyProtection="1">
      <alignment horizontal="center"/>
    </xf>
    <xf numFmtId="43" fontId="10" fillId="3" borderId="4" xfId="4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7" xfId="0" applyFont="1" applyBorder="1"/>
  </cellXfs>
  <cellStyles count="5">
    <cellStyle name="Accent6" xfId="4" builtinId="49"/>
    <cellStyle name="Comma" xfId="2" builtinId="3"/>
    <cellStyle name="Hyperlink" xfId="1" builtinId="8"/>
    <cellStyle name="Normal" xfId="0" builtinId="0"/>
    <cellStyle name="Percent" xfId="3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093EE-EFF8-4569-8FB7-11929055B18F}">
  <dimension ref="B5:L25"/>
  <sheetViews>
    <sheetView tabSelected="1" zoomScale="70" zoomScaleNormal="70" workbookViewId="0">
      <selection activeCell="K21" sqref="K21"/>
    </sheetView>
  </sheetViews>
  <sheetFormatPr defaultRowHeight="15" x14ac:dyDescent="0.2"/>
  <cols>
    <col min="2" max="2" width="26.77734375" customWidth="1"/>
    <col min="10" max="10" width="26" customWidth="1"/>
    <col min="11" max="11" width="10.6640625" customWidth="1"/>
  </cols>
  <sheetData>
    <row r="5" spans="2:12" ht="15.75" x14ac:dyDescent="0.25">
      <c r="C5">
        <v>2026</v>
      </c>
      <c r="D5">
        <v>2027</v>
      </c>
      <c r="E5">
        <v>2028</v>
      </c>
      <c r="F5">
        <v>2029</v>
      </c>
      <c r="G5">
        <v>2030</v>
      </c>
      <c r="J5" s="1" t="s">
        <v>0</v>
      </c>
      <c r="K5" s="1"/>
    </row>
    <row r="6" spans="2:12" ht="15.75" x14ac:dyDescent="0.25">
      <c r="B6" t="s">
        <v>50</v>
      </c>
      <c r="C6">
        <v>13140.31</v>
      </c>
      <c r="D6">
        <f>C10*1.15</f>
        <v>16232.357064999998</v>
      </c>
      <c r="E6">
        <f t="shared" ref="E6:G6" si="0">D10*1.15</f>
        <v>16419.029171247497</v>
      </c>
      <c r="F6">
        <f t="shared" si="0"/>
        <v>16607.848006716846</v>
      </c>
      <c r="G6">
        <f t="shared" si="0"/>
        <v>16798.838258794087</v>
      </c>
      <c r="J6" s="2" t="s">
        <v>1</v>
      </c>
      <c r="K6" s="3">
        <v>150</v>
      </c>
      <c r="L6" s="4"/>
    </row>
    <row r="7" spans="2:12" ht="15.75" x14ac:dyDescent="0.25">
      <c r="B7" t="s">
        <v>93</v>
      </c>
      <c r="C7">
        <v>13983.69</v>
      </c>
      <c r="D7">
        <f>C10</f>
        <v>14115.0931</v>
      </c>
      <c r="E7">
        <f t="shared" ref="E7:G7" si="1">D10</f>
        <v>14277.41667065</v>
      </c>
      <c r="F7">
        <f t="shared" si="1"/>
        <v>14441.606962362475</v>
      </c>
      <c r="G7">
        <f t="shared" si="1"/>
        <v>14607.685442429643</v>
      </c>
      <c r="J7" s="2" t="s">
        <v>2</v>
      </c>
      <c r="K7" s="5">
        <v>0.27</v>
      </c>
      <c r="L7" s="4"/>
    </row>
    <row r="8" spans="2:12" ht="15.75" x14ac:dyDescent="0.25">
      <c r="B8" t="s">
        <v>94</v>
      </c>
      <c r="C8">
        <f>0.04*C6</f>
        <v>525.61239999999998</v>
      </c>
      <c r="D8">
        <f t="shared" ref="D8:G8" si="2">0.04*D6</f>
        <v>649.29428259999997</v>
      </c>
      <c r="E8">
        <f t="shared" si="2"/>
        <v>656.76116684989995</v>
      </c>
      <c r="F8">
        <f t="shared" si="2"/>
        <v>664.31392026867388</v>
      </c>
      <c r="G8">
        <f t="shared" si="2"/>
        <v>671.95353035176345</v>
      </c>
      <c r="J8" s="7" t="s">
        <v>7</v>
      </c>
      <c r="K8" s="3" t="s">
        <v>97</v>
      </c>
      <c r="L8" s="30" t="s">
        <v>100</v>
      </c>
    </row>
    <row r="9" spans="2:12" ht="15.75" x14ac:dyDescent="0.25">
      <c r="B9" t="s">
        <v>7</v>
      </c>
      <c r="C9">
        <f>0.03*C6</f>
        <v>394.20929999999998</v>
      </c>
      <c r="D9">
        <f t="shared" ref="D9:G9" si="3">0.03*D6</f>
        <v>486.97071194999995</v>
      </c>
      <c r="E9">
        <f t="shared" si="3"/>
        <v>492.57087513742488</v>
      </c>
      <c r="F9">
        <f t="shared" si="3"/>
        <v>498.23544020150536</v>
      </c>
      <c r="G9">
        <f t="shared" si="3"/>
        <v>503.96514776382259</v>
      </c>
      <c r="J9" s="2" t="s">
        <v>4</v>
      </c>
      <c r="K9" s="3" t="s">
        <v>92</v>
      </c>
      <c r="L9" s="4" t="s">
        <v>99</v>
      </c>
    </row>
    <row r="10" spans="2:12" ht="15.75" x14ac:dyDescent="0.25">
      <c r="B10" t="s">
        <v>98</v>
      </c>
      <c r="C10">
        <f>C7+C8-C9</f>
        <v>14115.0931</v>
      </c>
      <c r="D10">
        <f t="shared" ref="D10:G10" si="4">D7+D8-D9</f>
        <v>14277.41667065</v>
      </c>
      <c r="E10">
        <f t="shared" si="4"/>
        <v>14441.606962362475</v>
      </c>
      <c r="F10">
        <f t="shared" si="4"/>
        <v>14607.685442429643</v>
      </c>
      <c r="G10">
        <f t="shared" si="4"/>
        <v>14775.673825017586</v>
      </c>
      <c r="J10" s="7" t="s">
        <v>105</v>
      </c>
      <c r="K10" s="10">
        <v>0.01</v>
      </c>
      <c r="L10" s="4"/>
    </row>
    <row r="11" spans="2:12" ht="15.75" x14ac:dyDescent="0.25">
      <c r="J11" s="32" t="s">
        <v>106</v>
      </c>
      <c r="K11">
        <v>1.1499999999999999</v>
      </c>
      <c r="L11" s="4"/>
    </row>
    <row r="12" spans="2:12" x14ac:dyDescent="0.2">
      <c r="J12" s="32" t="s">
        <v>108</v>
      </c>
      <c r="K12" s="33">
        <v>0.17</v>
      </c>
    </row>
    <row r="14" spans="2:12" x14ac:dyDescent="0.2">
      <c r="B14" t="s">
        <v>102</v>
      </c>
      <c r="C14">
        <v>0.2</v>
      </c>
      <c r="D14">
        <v>0.2</v>
      </c>
      <c r="E14">
        <v>0.2</v>
      </c>
      <c r="F14">
        <v>0.2</v>
      </c>
      <c r="G14">
        <v>0.2</v>
      </c>
    </row>
    <row r="15" spans="2:12" x14ac:dyDescent="0.2">
      <c r="B15" t="s">
        <v>103</v>
      </c>
      <c r="C15">
        <v>0.22</v>
      </c>
      <c r="D15">
        <v>0.22</v>
      </c>
      <c r="E15">
        <v>0.22</v>
      </c>
      <c r="F15">
        <v>0.22</v>
      </c>
      <c r="G15">
        <v>0.22</v>
      </c>
    </row>
    <row r="16" spans="2:12" x14ac:dyDescent="0.2">
      <c r="B16" t="s">
        <v>104</v>
      </c>
      <c r="C16">
        <v>0.25</v>
      </c>
      <c r="D16">
        <v>0.25</v>
      </c>
      <c r="E16">
        <v>0.25</v>
      </c>
      <c r="F16">
        <v>0.25</v>
      </c>
      <c r="G16">
        <v>0.25</v>
      </c>
    </row>
    <row r="19" spans="2:7" x14ac:dyDescent="0.2">
      <c r="B19" s="31" t="s">
        <v>23</v>
      </c>
      <c r="C19">
        <f>C6*C15</f>
        <v>2890.8681999999999</v>
      </c>
      <c r="D19">
        <f t="shared" ref="D19:G19" si="5">D6*D15</f>
        <v>3571.1185542999997</v>
      </c>
      <c r="E19">
        <f t="shared" si="5"/>
        <v>3612.1864176744493</v>
      </c>
      <c r="F19">
        <f t="shared" si="5"/>
        <v>3653.7265614777061</v>
      </c>
      <c r="G19">
        <f t="shared" si="5"/>
        <v>3695.7444169346991</v>
      </c>
    </row>
    <row r="20" spans="2:7" x14ac:dyDescent="0.2">
      <c r="B20" s="31" t="s">
        <v>111</v>
      </c>
      <c r="C20">
        <f>0.01*C6</f>
        <v>131.40309999999999</v>
      </c>
      <c r="D20">
        <f>0.01*D6</f>
        <v>162.32357064999999</v>
      </c>
      <c r="E20">
        <f>0.01*E6</f>
        <v>164.19029171247499</v>
      </c>
      <c r="F20">
        <f>0.01*F6</f>
        <v>166.07848006716847</v>
      </c>
      <c r="G20">
        <f>0.01*G6</f>
        <v>167.98838258794086</v>
      </c>
    </row>
    <row r="21" spans="2:7" x14ac:dyDescent="0.2">
      <c r="B21" s="31" t="s">
        <v>109</v>
      </c>
      <c r="C21">
        <f>50.35*1.17</f>
        <v>58.909500000000001</v>
      </c>
      <c r="D21">
        <f>C21*1.17</f>
        <v>68.924115</v>
      </c>
      <c r="E21">
        <f t="shared" ref="E21:G21" si="6">D21*1.17</f>
        <v>80.641214550000001</v>
      </c>
      <c r="F21">
        <f t="shared" si="6"/>
        <v>94.350221023499998</v>
      </c>
      <c r="G21">
        <f t="shared" si="6"/>
        <v>110.38975859749499</v>
      </c>
    </row>
    <row r="22" spans="2:7" x14ac:dyDescent="0.2">
      <c r="B22" s="31" t="s">
        <v>110</v>
      </c>
      <c r="C22">
        <f>C19-C9-C21</f>
        <v>2437.7493999999997</v>
      </c>
      <c r="D22">
        <f t="shared" ref="D22:G22" si="7">D19-D9-D21</f>
        <v>3015.22372735</v>
      </c>
      <c r="E22">
        <f t="shared" si="7"/>
        <v>3038.9743279870245</v>
      </c>
      <c r="F22">
        <f t="shared" si="7"/>
        <v>3061.1409002527007</v>
      </c>
      <c r="G22">
        <f t="shared" si="7"/>
        <v>3081.3895105733814</v>
      </c>
    </row>
    <row r="23" spans="2:7" x14ac:dyDescent="0.2">
      <c r="B23" s="31" t="s">
        <v>6</v>
      </c>
      <c r="C23">
        <f>0.27*C22</f>
        <v>658.19233799999995</v>
      </c>
      <c r="D23">
        <f t="shared" ref="D23:G23" si="8">0.27*D22</f>
        <v>814.11040638450004</v>
      </c>
      <c r="E23">
        <f t="shared" si="8"/>
        <v>820.5230685564967</v>
      </c>
      <c r="F23">
        <f t="shared" si="8"/>
        <v>826.5080430682292</v>
      </c>
      <c r="G23">
        <f t="shared" si="8"/>
        <v>831.97516785481298</v>
      </c>
    </row>
    <row r="25" spans="2:7" x14ac:dyDescent="0.2">
      <c r="B25" s="31" t="s">
        <v>5</v>
      </c>
      <c r="C25">
        <f>C19-C23-C8-C20</f>
        <v>1575.6603620000001</v>
      </c>
      <c r="D25">
        <f t="shared" ref="D25:G25" si="9">D19-D23-D8-D20</f>
        <v>1945.3902946654998</v>
      </c>
      <c r="E25">
        <f t="shared" si="9"/>
        <v>1970.7118905555778</v>
      </c>
      <c r="F25">
        <f t="shared" si="9"/>
        <v>1996.8261180736345</v>
      </c>
      <c r="G25">
        <f t="shared" si="9"/>
        <v>2023.8273361401823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DD50-D829-46EE-B8A9-F9DCEAE9C22C}">
  <dimension ref="A1:K101"/>
  <sheetViews>
    <sheetView topLeftCell="E57" workbookViewId="0">
      <selection activeCell="G78" sqref="G78"/>
    </sheetView>
  </sheetViews>
  <sheetFormatPr defaultColWidth="6.88671875" defaultRowHeight="15" x14ac:dyDescent="0.2"/>
  <cols>
    <col min="1" max="1" width="21.5546875" style="25" bestFit="1" customWidth="1"/>
    <col min="2" max="3" width="10.44140625" style="25" bestFit="1" customWidth="1"/>
    <col min="4" max="4" width="16.109375" style="25" customWidth="1"/>
    <col min="5" max="6" width="10.44140625" style="25" bestFit="1" customWidth="1"/>
    <col min="7" max="7" width="20" style="25" customWidth="1"/>
    <col min="8" max="11" width="10.44140625" style="25" bestFit="1" customWidth="1"/>
    <col min="12" max="16384" width="6.88671875" style="25"/>
  </cols>
  <sheetData>
    <row r="1" spans="1:11" s="24" customFormat="1" ht="15.75" x14ac:dyDescent="0.25">
      <c r="A1" s="24" t="s">
        <v>38</v>
      </c>
      <c r="B1" s="24" t="s">
        <v>39</v>
      </c>
      <c r="E1" s="46" t="str">
        <f>IF(B2&lt;&gt;B3, "A NEW VERSION OF THE WORKSHEET IS AVAILABLE", "")</f>
        <v/>
      </c>
      <c r="F1" s="46"/>
      <c r="G1" s="46"/>
      <c r="H1" s="46"/>
      <c r="I1" s="46"/>
      <c r="J1" s="46"/>
      <c r="K1" s="46"/>
    </row>
    <row r="2" spans="1:11" ht="15.75" x14ac:dyDescent="0.25">
      <c r="A2" s="24" t="s">
        <v>40</v>
      </c>
      <c r="B2" s="25">
        <v>2.1</v>
      </c>
      <c r="E2" s="47" t="s">
        <v>41</v>
      </c>
      <c r="F2" s="47"/>
      <c r="G2" s="47"/>
      <c r="H2" s="47"/>
      <c r="I2" s="47"/>
      <c r="J2" s="47"/>
      <c r="K2" s="47"/>
    </row>
    <row r="3" spans="1:11" ht="15.75" x14ac:dyDescent="0.25">
      <c r="A3" s="24" t="s">
        <v>42</v>
      </c>
      <c r="B3" s="25">
        <v>2.1</v>
      </c>
    </row>
    <row r="4" spans="1:11" ht="15.75" x14ac:dyDescent="0.25">
      <c r="A4" s="24"/>
    </row>
    <row r="5" spans="1:11" ht="15.75" x14ac:dyDescent="0.25">
      <c r="A5" s="24" t="s">
        <v>43</v>
      </c>
    </row>
    <row r="6" spans="1:11" x14ac:dyDescent="0.2">
      <c r="A6" s="25" t="s">
        <v>44</v>
      </c>
      <c r="B6" s="25">
        <f>IF(B9&gt;0, B9/B8, 0)</f>
        <v>101.82404209390177</v>
      </c>
    </row>
    <row r="7" spans="1:11" x14ac:dyDescent="0.2">
      <c r="A7" s="25" t="s">
        <v>45</v>
      </c>
      <c r="B7">
        <v>1</v>
      </c>
    </row>
    <row r="8" spans="1:11" x14ac:dyDescent="0.2">
      <c r="A8" s="25" t="s">
        <v>46</v>
      </c>
      <c r="B8">
        <v>1482.4</v>
      </c>
    </row>
    <row r="9" spans="1:11" x14ac:dyDescent="0.2">
      <c r="A9" s="25" t="s">
        <v>47</v>
      </c>
      <c r="B9">
        <v>150943.96</v>
      </c>
    </row>
    <row r="15" spans="1:11" ht="15.75" x14ac:dyDescent="0.25">
      <c r="A15" s="24" t="s">
        <v>48</v>
      </c>
    </row>
    <row r="16" spans="1:11" s="28" customFormat="1" x14ac:dyDescent="0.25">
      <c r="A16" s="26" t="s">
        <v>49</v>
      </c>
      <c r="B16" s="27">
        <v>42460</v>
      </c>
      <c r="C16" s="27">
        <v>42825</v>
      </c>
      <c r="D16" s="27">
        <v>43190</v>
      </c>
      <c r="E16" s="27">
        <v>43555</v>
      </c>
      <c r="F16" s="27">
        <v>43921</v>
      </c>
      <c r="G16" s="27">
        <v>44286</v>
      </c>
      <c r="H16" s="27">
        <v>44651</v>
      </c>
      <c r="I16" s="27">
        <v>45016</v>
      </c>
      <c r="J16" s="27">
        <v>45382</v>
      </c>
      <c r="K16" s="27">
        <v>45747</v>
      </c>
    </row>
    <row r="17" spans="1:11" s="23" customFormat="1" ht="15.75" x14ac:dyDescent="0.25">
      <c r="A17" s="23" t="s">
        <v>50</v>
      </c>
      <c r="B17">
        <v>5361.17</v>
      </c>
      <c r="C17">
        <v>5616.79</v>
      </c>
      <c r="D17">
        <v>6078.41</v>
      </c>
      <c r="E17">
        <v>7077.96</v>
      </c>
      <c r="F17">
        <v>7294.47</v>
      </c>
      <c r="G17">
        <v>7292.71</v>
      </c>
      <c r="H17">
        <v>9920.9599999999991</v>
      </c>
      <c r="I17">
        <v>11799.1</v>
      </c>
      <c r="J17">
        <v>12382.99</v>
      </c>
      <c r="K17">
        <v>13140.31</v>
      </c>
    </row>
    <row r="18" spans="1:11" s="23" customFormat="1" ht="15.75" x14ac:dyDescent="0.25">
      <c r="A18" s="25" t="s">
        <v>51</v>
      </c>
      <c r="B18">
        <v>2561.41</v>
      </c>
      <c r="C18">
        <v>2670.29</v>
      </c>
      <c r="D18">
        <v>2883.88</v>
      </c>
      <c r="E18">
        <v>3661.79</v>
      </c>
      <c r="F18">
        <v>3381.28</v>
      </c>
      <c r="G18">
        <v>3494.99</v>
      </c>
      <c r="H18">
        <v>5689.14</v>
      </c>
      <c r="I18">
        <v>6821.12</v>
      </c>
      <c r="J18">
        <v>5867.9</v>
      </c>
      <c r="K18">
        <v>6135.04</v>
      </c>
    </row>
    <row r="19" spans="1:11" s="23" customFormat="1" ht="15.75" x14ac:dyDescent="0.25">
      <c r="A19" s="25" t="s">
        <v>52</v>
      </c>
      <c r="B19">
        <v>-23.27</v>
      </c>
      <c r="C19">
        <v>30.73</v>
      </c>
      <c r="D19">
        <v>-3.77</v>
      </c>
      <c r="E19">
        <v>75.209999999999994</v>
      </c>
      <c r="F19">
        <v>-21.22</v>
      </c>
      <c r="G19">
        <v>118.32</v>
      </c>
      <c r="H19">
        <v>244.96</v>
      </c>
      <c r="I19">
        <v>61.72</v>
      </c>
      <c r="J19">
        <v>-126.12</v>
      </c>
      <c r="K19">
        <v>138.76</v>
      </c>
    </row>
    <row r="20" spans="1:11" s="23" customFormat="1" ht="15.75" x14ac:dyDescent="0.25">
      <c r="A20" s="32" t="s">
        <v>112</v>
      </c>
      <c r="B20">
        <f>B19/B17</f>
        <v>-4.340470457008451E-3</v>
      </c>
      <c r="C20">
        <f t="shared" ref="C20:K20" si="0">C19/C17</f>
        <v>5.4710964803740218E-3</v>
      </c>
      <c r="D20">
        <f t="shared" si="0"/>
        <v>-6.2022798725324551E-4</v>
      </c>
      <c r="E20">
        <f t="shared" si="0"/>
        <v>1.0625943068341725E-2</v>
      </c>
      <c r="F20">
        <f t="shared" si="0"/>
        <v>-2.9090530223580325E-3</v>
      </c>
      <c r="G20">
        <f t="shared" si="0"/>
        <v>1.6224421374221653E-2</v>
      </c>
      <c r="H20">
        <f t="shared" si="0"/>
        <v>2.4691158920104508E-2</v>
      </c>
      <c r="I20">
        <f t="shared" si="0"/>
        <v>5.2309074420930409E-3</v>
      </c>
      <c r="J20">
        <f t="shared" si="0"/>
        <v>-1.0184939178663635E-2</v>
      </c>
      <c r="K20">
        <f t="shared" si="0"/>
        <v>1.0559872636185904E-2</v>
      </c>
    </row>
    <row r="21" spans="1:11" s="23" customFormat="1" ht="15.75" x14ac:dyDescent="0.25">
      <c r="A21" s="25" t="s">
        <v>53</v>
      </c>
      <c r="B21">
        <v>48.97</v>
      </c>
      <c r="C21">
        <v>53.21</v>
      </c>
      <c r="D21">
        <v>59.16</v>
      </c>
      <c r="E21">
        <v>66.430000000000007</v>
      </c>
      <c r="F21">
        <v>67.19</v>
      </c>
      <c r="G21">
        <v>68.66</v>
      </c>
      <c r="H21">
        <v>87.89</v>
      </c>
      <c r="I21">
        <v>97.04</v>
      </c>
      <c r="J21">
        <v>106.92</v>
      </c>
      <c r="K21">
        <v>113.15</v>
      </c>
    </row>
    <row r="22" spans="1:11" s="23" customFormat="1" ht="15.75" x14ac:dyDescent="0.25">
      <c r="A22" s="25" t="s">
        <v>54</v>
      </c>
      <c r="B22">
        <v>345.8</v>
      </c>
      <c r="C22">
        <v>56.83</v>
      </c>
      <c r="D22">
        <v>109.42</v>
      </c>
      <c r="E22">
        <v>122.97</v>
      </c>
      <c r="F22">
        <v>153.27000000000001</v>
      </c>
      <c r="G22">
        <v>226.5</v>
      </c>
      <c r="H22">
        <v>299.49</v>
      </c>
      <c r="I22">
        <v>329.87</v>
      </c>
      <c r="J22">
        <v>412.83</v>
      </c>
      <c r="K22">
        <v>472.32</v>
      </c>
    </row>
    <row r="23" spans="1:11" s="23" customFormat="1" ht="15.75" x14ac:dyDescent="0.25">
      <c r="A23" s="25" t="s">
        <v>55</v>
      </c>
      <c r="B23">
        <v>572.46</v>
      </c>
      <c r="C23">
        <v>645.62</v>
      </c>
      <c r="D23">
        <v>712.88</v>
      </c>
      <c r="E23">
        <v>837.13</v>
      </c>
      <c r="F23">
        <v>927.66</v>
      </c>
      <c r="G23">
        <v>981.91</v>
      </c>
      <c r="H23">
        <v>1113.24</v>
      </c>
      <c r="I23">
        <v>1246.25</v>
      </c>
      <c r="J23">
        <v>1465.97</v>
      </c>
      <c r="K23">
        <v>1742.45</v>
      </c>
    </row>
    <row r="24" spans="1:11" s="23" customFormat="1" ht="15.75" x14ac:dyDescent="0.25">
      <c r="A24" s="25" t="s">
        <v>56</v>
      </c>
      <c r="B24">
        <v>434.86</v>
      </c>
      <c r="C24">
        <v>736.4</v>
      </c>
      <c r="D24">
        <v>766.29</v>
      </c>
      <c r="E24">
        <v>845.9</v>
      </c>
      <c r="F24">
        <v>905.14</v>
      </c>
      <c r="G24">
        <v>769.96</v>
      </c>
      <c r="H24">
        <v>908.39</v>
      </c>
      <c r="I24">
        <v>1142.26</v>
      </c>
      <c r="J24">
        <v>1460.42</v>
      </c>
      <c r="K24">
        <v>1534.17</v>
      </c>
    </row>
    <row r="25" spans="1:11" s="23" customFormat="1" ht="15.75" x14ac:dyDescent="0.25">
      <c r="A25" s="25" t="s">
        <v>57</v>
      </c>
      <c r="B25">
        <v>200.92</v>
      </c>
      <c r="C25">
        <v>223.28</v>
      </c>
      <c r="D25">
        <v>201.79</v>
      </c>
      <c r="E25">
        <v>248.31</v>
      </c>
      <c r="F25">
        <v>262.69</v>
      </c>
      <c r="G25">
        <v>182.66</v>
      </c>
      <c r="H25">
        <v>211.36</v>
      </c>
      <c r="I25">
        <v>238.19</v>
      </c>
      <c r="J25">
        <v>234.38</v>
      </c>
      <c r="K25">
        <v>271.36</v>
      </c>
    </row>
    <row r="26" spans="1:11" s="23" customFormat="1" ht="15.75" x14ac:dyDescent="0.25">
      <c r="A26" s="23" t="s">
        <v>58</v>
      </c>
      <c r="B26">
        <v>81.03</v>
      </c>
      <c r="C26">
        <v>115.45</v>
      </c>
      <c r="D26">
        <v>153</v>
      </c>
      <c r="E26">
        <v>129.79</v>
      </c>
      <c r="F26">
        <v>97.27</v>
      </c>
      <c r="G26">
        <v>74.03</v>
      </c>
      <c r="H26">
        <v>39.06</v>
      </c>
      <c r="I26">
        <v>54.53</v>
      </c>
      <c r="J26">
        <v>62.75</v>
      </c>
      <c r="K26">
        <v>220.95</v>
      </c>
    </row>
    <row r="27" spans="1:11" s="23" customFormat="1" ht="15.75" x14ac:dyDescent="0.25">
      <c r="A27" s="23" t="s">
        <v>3</v>
      </c>
      <c r="B27">
        <v>100.47</v>
      </c>
      <c r="C27">
        <v>115.14</v>
      </c>
      <c r="D27">
        <v>119.88</v>
      </c>
      <c r="E27">
        <v>132.74</v>
      </c>
      <c r="F27">
        <v>169.92</v>
      </c>
      <c r="G27">
        <v>200.66</v>
      </c>
      <c r="H27">
        <v>239.61</v>
      </c>
      <c r="I27">
        <v>269.74</v>
      </c>
      <c r="J27">
        <v>340.66</v>
      </c>
      <c r="K27">
        <v>358.48</v>
      </c>
    </row>
    <row r="28" spans="1:11" s="23" customFormat="1" ht="15.75" x14ac:dyDescent="0.25">
      <c r="A28" s="23" t="s">
        <v>59</v>
      </c>
      <c r="B28">
        <v>13.27</v>
      </c>
      <c r="C28">
        <v>13.93</v>
      </c>
      <c r="D28">
        <v>15.54</v>
      </c>
      <c r="E28">
        <v>26.07</v>
      </c>
      <c r="F28">
        <v>33.6</v>
      </c>
      <c r="G28">
        <v>37.229999999999997</v>
      </c>
      <c r="H28">
        <v>42.08</v>
      </c>
      <c r="I28">
        <v>47.64</v>
      </c>
      <c r="J28">
        <v>51.19</v>
      </c>
      <c r="K28">
        <v>50.35</v>
      </c>
    </row>
    <row r="29" spans="1:11" s="23" customFormat="1" ht="15.75" x14ac:dyDescent="0.25">
      <c r="A29" s="23" t="s">
        <v>107</v>
      </c>
      <c r="B29"/>
      <c r="C29">
        <f>(C28-B28)/B28</f>
        <v>4.9736247174076875E-2</v>
      </c>
      <c r="D29">
        <f t="shared" ref="D29:K29" si="1">(D28-C28)/C28</f>
        <v>0.11557788944723614</v>
      </c>
      <c r="E29">
        <f t="shared" si="1"/>
        <v>0.6776061776061777</v>
      </c>
      <c r="F29">
        <f t="shared" si="1"/>
        <v>0.28883774453394712</v>
      </c>
      <c r="G29">
        <f t="shared" si="1"/>
        <v>0.10803571428571415</v>
      </c>
      <c r="H29">
        <f t="shared" si="1"/>
        <v>0.13027128659683057</v>
      </c>
      <c r="I29">
        <f t="shared" si="1"/>
        <v>0.13212927756653997</v>
      </c>
      <c r="J29">
        <f t="shared" si="1"/>
        <v>7.4517212426532267E-2</v>
      </c>
      <c r="K29">
        <f t="shared" si="1"/>
        <v>-1.6409454971674085E-2</v>
      </c>
    </row>
    <row r="30" spans="1:11" s="23" customFormat="1" ht="15.75" x14ac:dyDescent="0.25">
      <c r="A30" s="23" t="s">
        <v>60</v>
      </c>
      <c r="B30">
        <v>1140.77</v>
      </c>
      <c r="C30">
        <v>1248.27</v>
      </c>
      <c r="D30">
        <v>1358.8</v>
      </c>
      <c r="E30">
        <v>1341.62</v>
      </c>
      <c r="F30">
        <v>1469.77</v>
      </c>
      <c r="G30">
        <v>1522.49</v>
      </c>
      <c r="H30">
        <v>1613.78</v>
      </c>
      <c r="I30">
        <v>1723.24</v>
      </c>
      <c r="J30">
        <v>2379.35</v>
      </c>
      <c r="K30">
        <v>2822.7</v>
      </c>
    </row>
    <row r="31" spans="1:11" s="23" customFormat="1" ht="15.75" x14ac:dyDescent="0.25">
      <c r="A31" s="23" t="s">
        <v>6</v>
      </c>
      <c r="B31">
        <v>333.54</v>
      </c>
      <c r="C31">
        <v>385.05</v>
      </c>
      <c r="D31">
        <v>392.71</v>
      </c>
      <c r="E31">
        <v>413.23</v>
      </c>
      <c r="F31">
        <v>347.72</v>
      </c>
      <c r="G31">
        <v>396.36</v>
      </c>
      <c r="H31">
        <v>407.02</v>
      </c>
      <c r="I31">
        <v>434.37</v>
      </c>
      <c r="J31">
        <v>631.92999999999995</v>
      </c>
      <c r="K31">
        <v>726.53</v>
      </c>
    </row>
    <row r="32" spans="1:11" s="23" customFormat="1" ht="15.75" x14ac:dyDescent="0.25">
      <c r="A32" s="23" t="s">
        <v>90</v>
      </c>
      <c r="B32">
        <f>B31/B30</f>
        <v>0.29238146164432799</v>
      </c>
      <c r="C32">
        <f t="shared" ref="C32:K32" si="2">C31/C30</f>
        <v>0.30846691821480932</v>
      </c>
      <c r="D32">
        <f t="shared" si="2"/>
        <v>0.28901236385045626</v>
      </c>
      <c r="E32">
        <f t="shared" si="2"/>
        <v>0.30800822885764972</v>
      </c>
      <c r="F32">
        <f t="shared" si="2"/>
        <v>0.2365812337984855</v>
      </c>
      <c r="G32">
        <f t="shared" si="2"/>
        <v>0.26033668529842563</v>
      </c>
      <c r="H32">
        <f t="shared" si="2"/>
        <v>0.252215295765222</v>
      </c>
      <c r="I32">
        <f t="shared" si="2"/>
        <v>0.25206587590817298</v>
      </c>
      <c r="J32">
        <f t="shared" si="2"/>
        <v>0.26558934162691489</v>
      </c>
      <c r="K32">
        <f t="shared" si="2"/>
        <v>0.25738831615120278</v>
      </c>
    </row>
    <row r="33" spans="1:11" s="23" customFormat="1" ht="15.75" x14ac:dyDescent="0.25">
      <c r="A33" s="23" t="s">
        <v>61</v>
      </c>
      <c r="B33">
        <v>802.83</v>
      </c>
      <c r="C33">
        <v>859.99</v>
      </c>
      <c r="D33">
        <v>962.35</v>
      </c>
      <c r="E33">
        <v>924.91</v>
      </c>
      <c r="F33">
        <v>1116.42</v>
      </c>
      <c r="G33">
        <v>1131.21</v>
      </c>
      <c r="H33">
        <v>1207.56</v>
      </c>
      <c r="I33">
        <v>1273.25</v>
      </c>
      <c r="J33">
        <v>1729.38</v>
      </c>
      <c r="K33">
        <v>2076.2399999999998</v>
      </c>
    </row>
    <row r="34" spans="1:11" s="23" customFormat="1" ht="15.75" x14ac:dyDescent="0.25">
      <c r="A34" s="23" t="s">
        <v>62</v>
      </c>
      <c r="B34">
        <v>212.77</v>
      </c>
      <c r="C34">
        <v>243.53</v>
      </c>
      <c r="D34">
        <v>304.68</v>
      </c>
      <c r="E34">
        <v>330.2</v>
      </c>
      <c r="F34">
        <v>355.67</v>
      </c>
      <c r="G34">
        <v>431.97</v>
      </c>
      <c r="H34">
        <v>508.3</v>
      </c>
      <c r="I34">
        <v>559.13</v>
      </c>
      <c r="J34">
        <v>813.76</v>
      </c>
      <c r="K34">
        <v>1017.2</v>
      </c>
    </row>
    <row r="35" spans="1:11" s="23" customFormat="1" x14ac:dyDescent="0.25"/>
    <row r="36" spans="1:11" ht="15.75" x14ac:dyDescent="0.25">
      <c r="A36" s="23"/>
    </row>
    <row r="37" spans="1:11" ht="15.75" x14ac:dyDescent="0.25">
      <c r="A37" s="23"/>
      <c r="G37" s="25" t="s">
        <v>91</v>
      </c>
      <c r="H37" s="25">
        <f>AVERAGE(B32:K32)</f>
        <v>0.27220457211156673</v>
      </c>
    </row>
    <row r="38" spans="1:11" ht="15.75" x14ac:dyDescent="0.25">
      <c r="A38" s="23"/>
      <c r="G38" s="32" t="s">
        <v>115</v>
      </c>
      <c r="H38" s="25">
        <f>AVERAGE(C29:K29)</f>
        <v>0.17336689940726452</v>
      </c>
    </row>
    <row r="39" spans="1:11" ht="15.75" x14ac:dyDescent="0.25">
      <c r="A39" s="23"/>
      <c r="G39" s="32" t="s">
        <v>113</v>
      </c>
    </row>
    <row r="40" spans="1:11" ht="15.75" x14ac:dyDescent="0.25">
      <c r="A40" s="23"/>
      <c r="G40" s="25" t="s">
        <v>114</v>
      </c>
      <c r="H40" s="25">
        <f xml:space="preserve"> AVERAGE(B20:K20)</f>
        <v>5.4748709276037488E-3</v>
      </c>
    </row>
    <row r="41" spans="1:11" ht="15.75" x14ac:dyDescent="0.25">
      <c r="A41" s="23"/>
      <c r="G41" s="32" t="s">
        <v>11</v>
      </c>
      <c r="H41" s="25">
        <f>K28/K62</f>
        <v>0.11086889505438852</v>
      </c>
    </row>
    <row r="42" spans="1:11" ht="15.75" x14ac:dyDescent="0.25">
      <c r="A42" s="23"/>
    </row>
    <row r="43" spans="1:11" ht="15.75" x14ac:dyDescent="0.25">
      <c r="A43" s="24" t="s">
        <v>63</v>
      </c>
    </row>
    <row r="44" spans="1:11" s="28" customFormat="1" x14ac:dyDescent="0.25">
      <c r="A44" s="26" t="s">
        <v>49</v>
      </c>
      <c r="B44" s="27">
        <v>45107</v>
      </c>
      <c r="C44" s="27">
        <v>45199</v>
      </c>
      <c r="D44" s="27">
        <v>45291</v>
      </c>
      <c r="E44" s="27">
        <v>45382</v>
      </c>
      <c r="F44" s="27">
        <v>45473</v>
      </c>
      <c r="G44" s="27">
        <v>45565</v>
      </c>
      <c r="H44" s="27">
        <v>45657</v>
      </c>
      <c r="I44" s="27">
        <v>45747</v>
      </c>
      <c r="J44" s="27">
        <v>45838</v>
      </c>
      <c r="K44" s="27">
        <v>45930</v>
      </c>
    </row>
    <row r="45" spans="1:11" s="23" customFormat="1" ht="15.75" x14ac:dyDescent="0.25">
      <c r="A45" s="23" t="s">
        <v>50</v>
      </c>
      <c r="B45">
        <v>3275.11</v>
      </c>
      <c r="C45">
        <v>3076.04</v>
      </c>
      <c r="D45">
        <v>3129.99</v>
      </c>
      <c r="E45">
        <v>2901.85</v>
      </c>
      <c r="F45">
        <v>3395.35</v>
      </c>
      <c r="G45">
        <v>3234.91</v>
      </c>
      <c r="H45">
        <v>3368.91</v>
      </c>
      <c r="I45">
        <v>3141.14</v>
      </c>
      <c r="J45">
        <v>3753.1</v>
      </c>
      <c r="K45">
        <v>3554.44</v>
      </c>
    </row>
    <row r="46" spans="1:11" s="23" customFormat="1" ht="15.75" x14ac:dyDescent="0.25">
      <c r="A46" s="23" t="s">
        <v>64</v>
      </c>
      <c r="B46">
        <v>2569.11</v>
      </c>
      <c r="C46">
        <v>2397.6799999999998</v>
      </c>
      <c r="D46">
        <v>2387.54</v>
      </c>
      <c r="E46">
        <v>2326.91</v>
      </c>
      <c r="F46">
        <v>2583.42</v>
      </c>
      <c r="G46">
        <v>2467.3200000000002</v>
      </c>
      <c r="H46">
        <v>2570.98</v>
      </c>
      <c r="I46">
        <v>2509.36</v>
      </c>
      <c r="J46">
        <v>2812.12</v>
      </c>
      <c r="K46">
        <v>2704.06</v>
      </c>
    </row>
    <row r="47" spans="1:11" s="23" customFormat="1" ht="15.75" x14ac:dyDescent="0.25">
      <c r="A47" s="23" t="s">
        <v>58</v>
      </c>
      <c r="B47">
        <v>23.43</v>
      </c>
      <c r="C47">
        <v>31.59</v>
      </c>
      <c r="D47">
        <v>37.22</v>
      </c>
      <c r="E47">
        <v>-22.79</v>
      </c>
      <c r="F47">
        <v>53.94</v>
      </c>
      <c r="G47">
        <v>57.12</v>
      </c>
      <c r="H47">
        <v>55.78</v>
      </c>
      <c r="I47">
        <v>55.46</v>
      </c>
      <c r="J47">
        <v>85.94</v>
      </c>
      <c r="K47">
        <v>50.16</v>
      </c>
    </row>
    <row r="48" spans="1:11" s="23" customFormat="1" ht="15.75" x14ac:dyDescent="0.25">
      <c r="A48" s="23" t="s">
        <v>3</v>
      </c>
      <c r="B48">
        <v>73.430000000000007</v>
      </c>
      <c r="C48">
        <v>75.209999999999994</v>
      </c>
      <c r="D48">
        <v>79.489999999999995</v>
      </c>
      <c r="E48">
        <v>112.53</v>
      </c>
      <c r="F48">
        <v>84.42</v>
      </c>
      <c r="G48">
        <v>87.88</v>
      </c>
      <c r="H48">
        <v>89.5</v>
      </c>
      <c r="I48">
        <v>96.68</v>
      </c>
      <c r="J48">
        <v>96.68</v>
      </c>
      <c r="K48">
        <v>99.95</v>
      </c>
    </row>
    <row r="49" spans="1:11" s="23" customFormat="1" ht="15.75" x14ac:dyDescent="0.25">
      <c r="A49" s="23" t="s">
        <v>59</v>
      </c>
      <c r="B49">
        <v>11.88</v>
      </c>
      <c r="C49">
        <v>13.13</v>
      </c>
      <c r="D49">
        <v>12.76</v>
      </c>
      <c r="E49">
        <v>13.42</v>
      </c>
      <c r="F49">
        <v>11.82</v>
      </c>
      <c r="G49">
        <v>11.73</v>
      </c>
      <c r="H49">
        <v>12.45</v>
      </c>
      <c r="I49">
        <v>14.35</v>
      </c>
      <c r="J49">
        <v>13.77</v>
      </c>
      <c r="K49">
        <v>13.28</v>
      </c>
    </row>
    <row r="50" spans="1:11" s="23" customFormat="1" ht="15.75" x14ac:dyDescent="0.25">
      <c r="A50" s="23" t="s">
        <v>60</v>
      </c>
      <c r="B50">
        <v>644.12</v>
      </c>
      <c r="C50">
        <v>621.61</v>
      </c>
      <c r="D50">
        <v>687.42</v>
      </c>
      <c r="E50">
        <v>426.2</v>
      </c>
      <c r="F50">
        <v>769.63</v>
      </c>
      <c r="G50">
        <v>725.1</v>
      </c>
      <c r="H50">
        <v>751.76</v>
      </c>
      <c r="I50">
        <v>576.21</v>
      </c>
      <c r="J50">
        <v>916.47</v>
      </c>
      <c r="K50">
        <v>787.31</v>
      </c>
    </row>
    <row r="51" spans="1:11" s="23" customFormat="1" ht="15.75" x14ac:dyDescent="0.25">
      <c r="A51" s="23" t="s">
        <v>6</v>
      </c>
      <c r="B51">
        <v>170.43</v>
      </c>
      <c r="C51">
        <v>163.08000000000001</v>
      </c>
      <c r="D51">
        <v>176.5</v>
      </c>
      <c r="E51">
        <v>121.91</v>
      </c>
      <c r="F51">
        <v>198.36</v>
      </c>
      <c r="G51">
        <v>184.8</v>
      </c>
      <c r="H51">
        <v>194.68</v>
      </c>
      <c r="I51">
        <v>148.69</v>
      </c>
      <c r="J51">
        <v>238.34</v>
      </c>
      <c r="K51">
        <v>202.71</v>
      </c>
    </row>
    <row r="52" spans="1:11" s="23" customFormat="1" ht="15.75" x14ac:dyDescent="0.25">
      <c r="A52" s="23" t="s">
        <v>61</v>
      </c>
      <c r="B52">
        <v>468.16</v>
      </c>
      <c r="C52">
        <v>450.15</v>
      </c>
      <c r="D52">
        <v>510.48</v>
      </c>
      <c r="E52">
        <v>300.60000000000002</v>
      </c>
      <c r="F52">
        <v>566.91999999999996</v>
      </c>
      <c r="G52">
        <v>534.55999999999995</v>
      </c>
      <c r="H52">
        <v>552.41999999999996</v>
      </c>
      <c r="I52">
        <v>422.34</v>
      </c>
      <c r="J52">
        <v>672.41</v>
      </c>
      <c r="K52">
        <v>579.23</v>
      </c>
    </row>
    <row r="53" spans="1:11" ht="15.75" x14ac:dyDescent="0.25">
      <c r="A53" s="23" t="s">
        <v>65</v>
      </c>
      <c r="B53">
        <v>706</v>
      </c>
      <c r="C53">
        <v>678.36</v>
      </c>
      <c r="D53">
        <v>742.45</v>
      </c>
      <c r="E53">
        <v>574.94000000000005</v>
      </c>
      <c r="F53">
        <v>811.93</v>
      </c>
      <c r="G53">
        <v>767.59</v>
      </c>
      <c r="H53">
        <v>797.93</v>
      </c>
      <c r="I53">
        <v>631.78</v>
      </c>
      <c r="J53">
        <v>940.98</v>
      </c>
      <c r="K53">
        <v>850.38</v>
      </c>
    </row>
    <row r="54" spans="1:11" ht="15.75" x14ac:dyDescent="0.25">
      <c r="A54" s="23"/>
      <c r="B54" s="25">
        <f>B48/B45</f>
        <v>2.2420620986776017E-2</v>
      </c>
      <c r="C54" s="25">
        <f t="shared" ref="C54:K54" si="3">C48/C45</f>
        <v>2.4450267226694061E-2</v>
      </c>
      <c r="D54" s="25">
        <f t="shared" si="3"/>
        <v>2.5396247272355503E-2</v>
      </c>
      <c r="E54" s="25">
        <f t="shared" si="3"/>
        <v>3.8778710133190897E-2</v>
      </c>
      <c r="F54" s="25">
        <f t="shared" si="3"/>
        <v>2.4863416142665705E-2</v>
      </c>
      <c r="G54" s="25">
        <f t="shared" si="3"/>
        <v>2.7166134451963114E-2</v>
      </c>
      <c r="H54" s="25">
        <f t="shared" si="3"/>
        <v>2.6566456212840355E-2</v>
      </c>
      <c r="I54" s="25">
        <f t="shared" si="3"/>
        <v>3.0778634508490551E-2</v>
      </c>
      <c r="J54" s="25">
        <f t="shared" si="3"/>
        <v>2.5760038368282223E-2</v>
      </c>
      <c r="K54" s="25">
        <f t="shared" si="3"/>
        <v>2.8119760074723443E-2</v>
      </c>
    </row>
    <row r="55" spans="1:11" ht="15.75" x14ac:dyDescent="0.25">
      <c r="A55" s="23"/>
      <c r="D55" s="25" t="s">
        <v>96</v>
      </c>
      <c r="E55" s="25">
        <f xml:space="preserve"> AVERAGE(B54:K54)</f>
        <v>2.743002853779819E-2</v>
      </c>
    </row>
    <row r="56" spans="1:11" ht="15.75" x14ac:dyDescent="0.25">
      <c r="A56" s="23"/>
    </row>
    <row r="57" spans="1:11" ht="15.75" x14ac:dyDescent="0.25">
      <c r="A57" s="23"/>
    </row>
    <row r="58" spans="1:11" ht="15.75" x14ac:dyDescent="0.25">
      <c r="A58" s="24" t="s">
        <v>66</v>
      </c>
    </row>
    <row r="59" spans="1:11" s="28" customFormat="1" x14ac:dyDescent="0.25">
      <c r="A59" s="26" t="s">
        <v>49</v>
      </c>
      <c r="B59" s="27">
        <v>42460</v>
      </c>
      <c r="C59" s="27">
        <v>42825</v>
      </c>
      <c r="D59" s="27">
        <v>43190</v>
      </c>
      <c r="E59" s="27">
        <v>43555</v>
      </c>
      <c r="F59" s="27">
        <v>43921</v>
      </c>
      <c r="G59" s="27">
        <v>44286</v>
      </c>
      <c r="H59" s="27">
        <v>44651</v>
      </c>
      <c r="I59" s="27">
        <v>45016</v>
      </c>
      <c r="J59" s="27">
        <v>45382</v>
      </c>
      <c r="K59" s="27">
        <v>45747</v>
      </c>
    </row>
    <row r="60" spans="1:11" ht="15.75" x14ac:dyDescent="0.25">
      <c r="A60" s="23" t="s">
        <v>67</v>
      </c>
      <c r="B60">
        <v>51.27</v>
      </c>
      <c r="C60">
        <v>51.27</v>
      </c>
      <c r="D60">
        <v>50.78</v>
      </c>
      <c r="E60">
        <v>50.8</v>
      </c>
      <c r="F60">
        <v>50.81</v>
      </c>
      <c r="G60">
        <v>50.82</v>
      </c>
      <c r="H60">
        <v>50.83</v>
      </c>
      <c r="I60">
        <v>50.83</v>
      </c>
      <c r="J60">
        <v>50.86</v>
      </c>
      <c r="K60">
        <v>50.86</v>
      </c>
    </row>
    <row r="61" spans="1:11" ht="15.75" x14ac:dyDescent="0.25">
      <c r="A61" s="23" t="s">
        <v>68</v>
      </c>
      <c r="B61">
        <v>2586.7199999999998</v>
      </c>
      <c r="C61">
        <v>3419.64</v>
      </c>
      <c r="D61">
        <v>3523.26</v>
      </c>
      <c r="E61">
        <v>4097.29</v>
      </c>
      <c r="F61">
        <v>4404.8</v>
      </c>
      <c r="G61">
        <v>5542.14</v>
      </c>
      <c r="H61">
        <v>6352.88</v>
      </c>
      <c r="I61">
        <v>7161.45</v>
      </c>
      <c r="J61">
        <v>8356.2999999999993</v>
      </c>
      <c r="K61">
        <v>9703.6</v>
      </c>
    </row>
    <row r="62" spans="1:11" ht="15.75" x14ac:dyDescent="0.25">
      <c r="A62" s="23" t="s">
        <v>69</v>
      </c>
      <c r="B62">
        <v>80.02</v>
      </c>
      <c r="C62">
        <v>97.51</v>
      </c>
      <c r="D62">
        <v>124.57</v>
      </c>
      <c r="E62">
        <v>112.74</v>
      </c>
      <c r="F62">
        <v>287.69</v>
      </c>
      <c r="G62">
        <v>331</v>
      </c>
      <c r="H62">
        <v>415.83</v>
      </c>
      <c r="I62">
        <v>390.61</v>
      </c>
      <c r="J62">
        <v>382.47</v>
      </c>
      <c r="K62">
        <v>454.14</v>
      </c>
    </row>
    <row r="63" spans="1:11" ht="15.75" x14ac:dyDescent="0.25">
      <c r="A63" s="23" t="s">
        <v>70</v>
      </c>
      <c r="B63">
        <v>995.87</v>
      </c>
      <c r="C63">
        <v>1202.01</v>
      </c>
      <c r="D63">
        <v>1499.99</v>
      </c>
      <c r="E63">
        <v>1642.96</v>
      </c>
      <c r="F63">
        <v>1779.4</v>
      </c>
      <c r="G63">
        <v>2889.87</v>
      </c>
      <c r="H63">
        <v>2674.8</v>
      </c>
      <c r="I63">
        <v>2901.98</v>
      </c>
      <c r="J63">
        <v>3285.98</v>
      </c>
      <c r="K63">
        <v>3775.09</v>
      </c>
    </row>
    <row r="64" spans="1:11" s="24" customFormat="1" ht="15.75" x14ac:dyDescent="0.25">
      <c r="A64" s="24" t="s">
        <v>71</v>
      </c>
      <c r="B64">
        <v>3713.88</v>
      </c>
      <c r="C64">
        <v>4770.43</v>
      </c>
      <c r="D64">
        <v>5198.6000000000004</v>
      </c>
      <c r="E64">
        <v>5903.79</v>
      </c>
      <c r="F64">
        <v>6522.7</v>
      </c>
      <c r="G64">
        <v>8813.83</v>
      </c>
      <c r="H64">
        <v>9494.34</v>
      </c>
      <c r="I64">
        <v>10504.87</v>
      </c>
      <c r="J64">
        <v>12075.61</v>
      </c>
      <c r="K64">
        <v>13983.69</v>
      </c>
    </row>
    <row r="65" spans="1:11" ht="15.75" x14ac:dyDescent="0.25">
      <c r="A65" s="23" t="s">
        <v>72</v>
      </c>
      <c r="B65">
        <v>1137.46</v>
      </c>
      <c r="C65">
        <v>1275.25</v>
      </c>
      <c r="D65">
        <v>1342.19</v>
      </c>
      <c r="E65">
        <v>1447.61</v>
      </c>
      <c r="F65">
        <v>1806.71</v>
      </c>
      <c r="G65">
        <v>4417.92</v>
      </c>
      <c r="H65">
        <v>4703.26</v>
      </c>
      <c r="I65">
        <v>4914.08</v>
      </c>
      <c r="J65">
        <v>5450.63</v>
      </c>
      <c r="K65">
        <v>5705.29</v>
      </c>
    </row>
    <row r="66" spans="1:11" ht="15.75" x14ac:dyDescent="0.25">
      <c r="A66" s="23" t="s">
        <v>73</v>
      </c>
      <c r="B66">
        <v>158.07</v>
      </c>
      <c r="C66">
        <v>147.71</v>
      </c>
      <c r="D66">
        <v>227.73</v>
      </c>
      <c r="E66">
        <v>242.13</v>
      </c>
      <c r="F66">
        <v>259.33</v>
      </c>
      <c r="G66">
        <v>293.87</v>
      </c>
      <c r="H66">
        <v>225.42</v>
      </c>
      <c r="I66">
        <v>405.94</v>
      </c>
      <c r="J66">
        <v>148.09</v>
      </c>
      <c r="K66">
        <v>128.94999999999999</v>
      </c>
    </row>
    <row r="67" spans="1:11" ht="15.75" x14ac:dyDescent="0.25">
      <c r="A67" s="23" t="s">
        <v>74</v>
      </c>
      <c r="B67">
        <v>705.54</v>
      </c>
      <c r="C67">
        <v>1443.1</v>
      </c>
      <c r="D67">
        <v>1245.94</v>
      </c>
      <c r="E67">
        <v>1547.7</v>
      </c>
      <c r="F67">
        <v>1186.19</v>
      </c>
      <c r="G67">
        <v>515.97</v>
      </c>
      <c r="H67">
        <v>458.61</v>
      </c>
      <c r="I67">
        <v>880.85</v>
      </c>
      <c r="J67">
        <v>2235.04</v>
      </c>
      <c r="K67">
        <v>3551.32</v>
      </c>
    </row>
    <row r="68" spans="1:11" ht="15.75" x14ac:dyDescent="0.25">
      <c r="A68" s="23" t="s">
        <v>75</v>
      </c>
      <c r="B68">
        <v>1712.81</v>
      </c>
      <c r="C68">
        <v>1904.37</v>
      </c>
      <c r="D68">
        <v>2382.7399999999998</v>
      </c>
      <c r="E68">
        <v>2666.35</v>
      </c>
      <c r="F68">
        <v>3270.47</v>
      </c>
      <c r="G68">
        <v>3586.07</v>
      </c>
      <c r="H68">
        <v>4107.05</v>
      </c>
      <c r="I68">
        <v>4304</v>
      </c>
      <c r="J68">
        <v>4241.8500000000004</v>
      </c>
      <c r="K68">
        <v>4598.13</v>
      </c>
    </row>
    <row r="69" spans="1:11" s="24" customFormat="1" ht="15.75" x14ac:dyDescent="0.25">
      <c r="A69" s="24" t="s">
        <v>71</v>
      </c>
      <c r="B69">
        <v>3713.88</v>
      </c>
      <c r="C69">
        <v>4770.43</v>
      </c>
      <c r="D69">
        <v>5198.6000000000004</v>
      </c>
      <c r="E69">
        <v>5903.79</v>
      </c>
      <c r="F69">
        <v>6522.7</v>
      </c>
      <c r="G69">
        <v>8813.83</v>
      </c>
      <c r="H69">
        <v>9494.34</v>
      </c>
      <c r="I69">
        <v>10504.87</v>
      </c>
      <c r="J69">
        <v>12075.61</v>
      </c>
      <c r="K69">
        <v>13983.69</v>
      </c>
    </row>
    <row r="70" spans="1:11" s="23" customFormat="1" ht="15.75" x14ac:dyDescent="0.25">
      <c r="A70" s="23" t="s">
        <v>76</v>
      </c>
      <c r="B70">
        <v>701.59</v>
      </c>
      <c r="C70">
        <v>768.54</v>
      </c>
      <c r="D70">
        <v>938.13</v>
      </c>
      <c r="E70">
        <v>1056.01</v>
      </c>
      <c r="F70">
        <v>1088.5</v>
      </c>
      <c r="G70">
        <v>1321.02</v>
      </c>
      <c r="H70">
        <v>1430.54</v>
      </c>
      <c r="I70">
        <v>1535.27</v>
      </c>
      <c r="J70">
        <v>1674.69</v>
      </c>
      <c r="K70">
        <v>1811.15</v>
      </c>
    </row>
    <row r="71" spans="1:11" ht="15.75" x14ac:dyDescent="0.25">
      <c r="A71" s="23" t="s">
        <v>77</v>
      </c>
      <c r="B71">
        <v>627.42999999999995</v>
      </c>
      <c r="C71">
        <v>720.86</v>
      </c>
      <c r="D71">
        <v>804.33</v>
      </c>
      <c r="E71">
        <v>934.45</v>
      </c>
      <c r="F71">
        <v>929.47</v>
      </c>
      <c r="G71">
        <v>1234.1500000000001</v>
      </c>
      <c r="H71">
        <v>1695.09</v>
      </c>
      <c r="I71">
        <v>1817.08</v>
      </c>
      <c r="J71">
        <v>1414.9</v>
      </c>
      <c r="K71">
        <v>1685.09</v>
      </c>
    </row>
    <row r="72" spans="1:11" x14ac:dyDescent="0.2">
      <c r="A72" s="25" t="s">
        <v>78</v>
      </c>
      <c r="B72">
        <v>131.76</v>
      </c>
      <c r="C72">
        <v>99.94</v>
      </c>
      <c r="D72">
        <v>163.58000000000001</v>
      </c>
      <c r="E72">
        <v>190.43</v>
      </c>
      <c r="F72">
        <v>703.25</v>
      </c>
      <c r="G72">
        <v>451.46</v>
      </c>
      <c r="H72">
        <v>355.17</v>
      </c>
      <c r="I72">
        <v>326.64999999999998</v>
      </c>
      <c r="J72">
        <v>533.29</v>
      </c>
      <c r="K72">
        <v>336.21</v>
      </c>
    </row>
    <row r="73" spans="1:11" x14ac:dyDescent="0.2">
      <c r="A73" s="25" t="s">
        <v>79</v>
      </c>
      <c r="B73">
        <v>512675330</v>
      </c>
      <c r="C73">
        <v>512682730</v>
      </c>
      <c r="D73">
        <v>507810330</v>
      </c>
      <c r="E73">
        <v>507978280</v>
      </c>
      <c r="F73">
        <v>508123780</v>
      </c>
      <c r="G73">
        <v>508153380</v>
      </c>
      <c r="H73">
        <v>508288415</v>
      </c>
      <c r="I73">
        <v>508314240</v>
      </c>
      <c r="J73">
        <v>508609340</v>
      </c>
      <c r="K73">
        <v>508648755</v>
      </c>
    </row>
    <row r="74" spans="1:11" x14ac:dyDescent="0.2">
      <c r="A74" s="25" t="s">
        <v>80</v>
      </c>
    </row>
    <row r="75" spans="1:11" x14ac:dyDescent="0.2">
      <c r="A75" s="25" t="s">
        <v>81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</row>
    <row r="77" spans="1:11" ht="15.75" x14ac:dyDescent="0.25">
      <c r="A77" s="23"/>
    </row>
    <row r="78" spans="1:11" ht="15.75" x14ac:dyDescent="0.25">
      <c r="A78" s="23"/>
    </row>
    <row r="79" spans="1:11" ht="15.75" x14ac:dyDescent="0.25">
      <c r="A79" s="23"/>
    </row>
    <row r="80" spans="1:11" ht="15.75" x14ac:dyDescent="0.25">
      <c r="A80" s="23"/>
    </row>
    <row r="81" spans="1:11" ht="15.75" x14ac:dyDescent="0.25">
      <c r="A81" s="23"/>
    </row>
    <row r="82" spans="1:11" ht="15.75" x14ac:dyDescent="0.25">
      <c r="A82" s="23"/>
    </row>
    <row r="83" spans="1:11" ht="15.75" x14ac:dyDescent="0.25">
      <c r="A83" s="24" t="s">
        <v>82</v>
      </c>
    </row>
    <row r="84" spans="1:11" s="28" customFormat="1" x14ac:dyDescent="0.25">
      <c r="A84" s="26" t="s">
        <v>49</v>
      </c>
      <c r="B84" s="27">
        <v>42460</v>
      </c>
      <c r="C84" s="27">
        <v>42825</v>
      </c>
      <c r="D84" s="27">
        <v>43190</v>
      </c>
      <c r="E84" s="27">
        <v>43555</v>
      </c>
      <c r="F84" s="27">
        <v>43921</v>
      </c>
      <c r="G84" s="27">
        <v>44286</v>
      </c>
      <c r="H84" s="27">
        <v>44651</v>
      </c>
      <c r="I84" s="27">
        <v>45016</v>
      </c>
      <c r="J84" s="27">
        <v>45382</v>
      </c>
      <c r="K84" s="27">
        <v>45747</v>
      </c>
    </row>
    <row r="85" spans="1:11" s="24" customFormat="1" ht="15.75" x14ac:dyDescent="0.25">
      <c r="A85" s="23" t="s">
        <v>83</v>
      </c>
      <c r="B85">
        <v>907.47</v>
      </c>
      <c r="C85">
        <v>793.75</v>
      </c>
      <c r="D85">
        <v>796.43</v>
      </c>
      <c r="E85">
        <v>844.78</v>
      </c>
      <c r="F85">
        <v>1279.55</v>
      </c>
      <c r="G85">
        <v>1392.13</v>
      </c>
      <c r="H85">
        <v>955.37</v>
      </c>
      <c r="I85">
        <v>1557.57</v>
      </c>
      <c r="J85">
        <v>2724.03</v>
      </c>
      <c r="K85">
        <v>2286.63</v>
      </c>
    </row>
    <row r="86" spans="1:11" s="23" customFormat="1" ht="15.75" x14ac:dyDescent="0.25">
      <c r="A86" s="23" t="s">
        <v>84</v>
      </c>
      <c r="B86">
        <v>-491.14</v>
      </c>
      <c r="C86">
        <v>-878.97</v>
      </c>
      <c r="D86">
        <v>39.26</v>
      </c>
      <c r="E86">
        <v>-513.14</v>
      </c>
      <c r="F86">
        <v>102.94</v>
      </c>
      <c r="G86">
        <v>-1687.89</v>
      </c>
      <c r="H86">
        <v>-558.14</v>
      </c>
      <c r="I86">
        <v>-898.95</v>
      </c>
      <c r="J86">
        <v>-1769.29</v>
      </c>
      <c r="K86">
        <v>-1541.59</v>
      </c>
    </row>
    <row r="87" spans="1:11" s="23" customFormat="1" ht="15.75" x14ac:dyDescent="0.25">
      <c r="A87" s="23" t="s">
        <v>85</v>
      </c>
      <c r="B87">
        <v>-371.06</v>
      </c>
      <c r="C87">
        <v>40.659999999999997</v>
      </c>
      <c r="D87">
        <v>-789.75</v>
      </c>
      <c r="E87">
        <v>-360.56</v>
      </c>
      <c r="F87">
        <v>-849.21</v>
      </c>
      <c r="G87">
        <v>-76.239999999999995</v>
      </c>
      <c r="H87">
        <v>-467.96</v>
      </c>
      <c r="I87">
        <v>-656.43</v>
      </c>
      <c r="J87">
        <v>-742.45</v>
      </c>
      <c r="K87">
        <v>-917.94</v>
      </c>
    </row>
    <row r="88" spans="1:11" s="24" customFormat="1" ht="15.75" x14ac:dyDescent="0.25">
      <c r="A88" s="23" t="s">
        <v>86</v>
      </c>
      <c r="B88">
        <v>45.27</v>
      </c>
      <c r="C88">
        <v>-44.56</v>
      </c>
      <c r="D88">
        <v>45.94</v>
      </c>
      <c r="E88">
        <v>-28.92</v>
      </c>
      <c r="F88">
        <v>533.28</v>
      </c>
      <c r="G88">
        <v>-372</v>
      </c>
      <c r="H88">
        <v>-70.73</v>
      </c>
      <c r="I88">
        <v>2.19</v>
      </c>
      <c r="J88">
        <v>212.29</v>
      </c>
      <c r="K88">
        <v>-172.9</v>
      </c>
    </row>
    <row r="89" spans="1:11" ht="15.75" x14ac:dyDescent="0.25">
      <c r="A89" s="23"/>
    </row>
    <row r="90" spans="1:11" ht="15.75" x14ac:dyDescent="0.25">
      <c r="A90" s="23"/>
    </row>
    <row r="91" spans="1:11" ht="15.75" x14ac:dyDescent="0.25">
      <c r="A91" s="23"/>
    </row>
    <row r="92" spans="1:11" ht="15.75" x14ac:dyDescent="0.25">
      <c r="A92" s="23"/>
    </row>
    <row r="93" spans="1:11" s="24" customFormat="1" ht="15.75" x14ac:dyDescent="0.25">
      <c r="A93" s="24" t="s">
        <v>87</v>
      </c>
      <c r="B93">
        <v>294.64999999999998</v>
      </c>
      <c r="C93">
        <v>349.58</v>
      </c>
      <c r="D93">
        <v>458.9</v>
      </c>
      <c r="E93">
        <v>623.13</v>
      </c>
      <c r="F93">
        <v>678.2</v>
      </c>
      <c r="G93">
        <v>904.7</v>
      </c>
      <c r="H93">
        <v>1227.1500000000001</v>
      </c>
      <c r="I93">
        <v>1176.5</v>
      </c>
      <c r="J93">
        <v>1507.35</v>
      </c>
      <c r="K93">
        <v>1424.65</v>
      </c>
    </row>
    <row r="95" spans="1:11" s="24" customFormat="1" x14ac:dyDescent="0.25">
      <c r="A95" s="24" t="s">
        <v>88</v>
      </c>
    </row>
    <row r="96" spans="1:11" x14ac:dyDescent="0.2">
      <c r="A96" s="25" t="s">
        <v>89</v>
      </c>
      <c r="B96" s="29">
        <v>102.54</v>
      </c>
      <c r="C96" s="29">
        <v>102.54</v>
      </c>
      <c r="D96" s="29">
        <v>101.56</v>
      </c>
      <c r="E96" s="29">
        <v>101.6</v>
      </c>
      <c r="F96" s="29">
        <v>101.62</v>
      </c>
      <c r="G96" s="29">
        <v>101.63</v>
      </c>
      <c r="H96" s="29">
        <v>101.66</v>
      </c>
      <c r="I96" s="29">
        <v>101.66</v>
      </c>
      <c r="J96" s="29">
        <v>101.72</v>
      </c>
      <c r="K96" s="29">
        <v>101.73</v>
      </c>
    </row>
    <row r="98" spans="1:11" x14ac:dyDescent="0.2">
      <c r="A98" s="25" t="s">
        <v>95</v>
      </c>
      <c r="C98" s="25">
        <f t="shared" ref="C98:K98" si="4">C17*2/(B69+C69)</f>
        <v>1.3240416722161259</v>
      </c>
      <c r="D98" s="25">
        <f t="shared" si="4"/>
        <v>1.2194586634808</v>
      </c>
      <c r="E98" s="25">
        <f t="shared" si="4"/>
        <v>1.2750335738521166</v>
      </c>
      <c r="F98" s="25">
        <f t="shared" si="4"/>
        <v>1.1740193731295001</v>
      </c>
      <c r="G98" s="25">
        <f t="shared" si="4"/>
        <v>0.95102477548702358</v>
      </c>
      <c r="H98" s="25">
        <f t="shared" si="4"/>
        <v>1.0837740746344391</v>
      </c>
      <c r="I98" s="25">
        <f t="shared" si="4"/>
        <v>1.1799566082860273</v>
      </c>
      <c r="J98" s="25">
        <f t="shared" si="4"/>
        <v>1.0967871365001982</v>
      </c>
      <c r="K98" s="25">
        <f t="shared" si="4"/>
        <v>1.0084929372623208</v>
      </c>
    </row>
    <row r="101" spans="1:11" x14ac:dyDescent="0.2">
      <c r="E101" s="25" t="s">
        <v>101</v>
      </c>
      <c r="G101" s="25">
        <f>AVERAGE(C98:K98)</f>
        <v>1.1458432016498392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B641576C-7F45-4FFC-8361-9813CBD7870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000"/>
  <sheetViews>
    <sheetView showGridLines="0" workbookViewId="0">
      <selection activeCell="C11" sqref="C11"/>
    </sheetView>
  </sheetViews>
  <sheetFormatPr defaultColWidth="11.33203125" defaultRowHeight="15" customHeight="1" x14ac:dyDescent="0.2"/>
  <cols>
    <col min="1" max="1" width="10.5546875" customWidth="1"/>
    <col min="2" max="2" width="15.6640625" customWidth="1"/>
    <col min="3" max="3" width="11.33203125" customWidth="1"/>
    <col min="4" max="26" width="10.5546875" customWidth="1"/>
  </cols>
  <sheetData>
    <row r="1" spans="2:3" ht="15.75" customHeight="1" x14ac:dyDescent="0.2"/>
    <row r="2" spans="2:3" ht="15.75" customHeight="1" x14ac:dyDescent="0.25">
      <c r="B2" s="48" t="s">
        <v>8</v>
      </c>
      <c r="C2" s="49"/>
    </row>
    <row r="3" spans="2:3" ht="15.75" customHeight="1" x14ac:dyDescent="0.2"/>
    <row r="4" spans="2:3" ht="15.75" customHeight="1" x14ac:dyDescent="0.25">
      <c r="B4" s="7" t="s">
        <v>9</v>
      </c>
      <c r="C4" s="34">
        <v>150944</v>
      </c>
    </row>
    <row r="5" spans="2:3" ht="15.75" customHeight="1" x14ac:dyDescent="0.25">
      <c r="B5" s="7" t="s">
        <v>10</v>
      </c>
      <c r="C5" s="36">
        <v>454.14</v>
      </c>
    </row>
    <row r="6" spans="2:3" ht="15.75" customHeight="1" x14ac:dyDescent="0.25">
      <c r="B6" s="7" t="s">
        <v>11</v>
      </c>
      <c r="C6" s="5">
        <v>0.11</v>
      </c>
    </row>
    <row r="7" spans="2:3" ht="15.75" customHeight="1" x14ac:dyDescent="0.25">
      <c r="B7" s="7" t="s">
        <v>12</v>
      </c>
      <c r="C7" s="5">
        <v>0.27</v>
      </c>
    </row>
    <row r="8" spans="2:3" ht="15.75" customHeight="1" x14ac:dyDescent="0.25">
      <c r="B8" s="7" t="s">
        <v>116</v>
      </c>
      <c r="C8" s="10">
        <v>6.6000000000000003E-2</v>
      </c>
    </row>
    <row r="9" spans="2:3" ht="15.75" customHeight="1" x14ac:dyDescent="0.25">
      <c r="B9" s="7" t="s">
        <v>13</v>
      </c>
      <c r="C9" s="35">
        <v>0.33</v>
      </c>
    </row>
    <row r="10" spans="2:3" ht="15.75" customHeight="1" x14ac:dyDescent="0.25">
      <c r="B10" s="7" t="s">
        <v>14</v>
      </c>
      <c r="C10" s="10">
        <v>0.13</v>
      </c>
    </row>
    <row r="11" spans="2:3" ht="15.75" customHeight="1" x14ac:dyDescent="0.25">
      <c r="B11" s="9" t="s">
        <v>15</v>
      </c>
      <c r="C11" s="43">
        <f>C8+C9*(C10-C8)</f>
        <v>8.7120000000000003E-2</v>
      </c>
    </row>
    <row r="12" spans="2:3" ht="15.75" customHeight="1" x14ac:dyDescent="0.2"/>
    <row r="13" spans="2:3" ht="15.75" customHeight="1" x14ac:dyDescent="0.25">
      <c r="B13" s="7" t="s">
        <v>16</v>
      </c>
      <c r="C13" s="37">
        <f>((C4/(C5+C4)))*C11</f>
        <v>8.6858671315248645E-2</v>
      </c>
    </row>
    <row r="14" spans="2:3" ht="15.75" customHeight="1" x14ac:dyDescent="0.25">
      <c r="B14" s="7" t="s">
        <v>17</v>
      </c>
      <c r="C14" s="37">
        <f>(C5/(C5+C4))*C6*(1-C7)</f>
        <v>2.408711361975781E-4</v>
      </c>
    </row>
    <row r="15" spans="2:3" ht="15.75" customHeight="1" x14ac:dyDescent="0.25">
      <c r="B15" s="6" t="s">
        <v>18</v>
      </c>
      <c r="C15" s="38">
        <f>C13+C14</f>
        <v>8.709954245144623E-2</v>
      </c>
    </row>
    <row r="16" spans="2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2:C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000"/>
  <sheetViews>
    <sheetView showGridLines="0" topLeftCell="A4" workbookViewId="0">
      <selection activeCell="G15" sqref="G15"/>
    </sheetView>
  </sheetViews>
  <sheetFormatPr defaultColWidth="11.33203125" defaultRowHeight="15" customHeight="1" x14ac:dyDescent="0.2"/>
  <cols>
    <col min="1" max="1" width="10.5546875" customWidth="1"/>
    <col min="2" max="2" width="23.44140625" customWidth="1"/>
    <col min="3" max="6" width="10.5546875" customWidth="1"/>
    <col min="7" max="7" width="11.6640625" customWidth="1"/>
    <col min="8" max="26" width="10.5546875" customWidth="1"/>
  </cols>
  <sheetData>
    <row r="1" spans="2:8" ht="15.75" customHeight="1" x14ac:dyDescent="0.2"/>
    <row r="2" spans="2:8" ht="16.5" customHeight="1" x14ac:dyDescent="0.2">
      <c r="B2" s="50" t="s">
        <v>19</v>
      </c>
      <c r="C2" s="51"/>
      <c r="D2" s="51"/>
      <c r="E2" s="51"/>
      <c r="F2" s="51"/>
      <c r="G2" s="51"/>
      <c r="H2" s="49"/>
    </row>
    <row r="3" spans="2:8" ht="15.75" customHeight="1" x14ac:dyDescent="0.2"/>
    <row r="4" spans="2:8" ht="15.75" customHeight="1" x14ac:dyDescent="0.25">
      <c r="B4" s="1" t="s">
        <v>0</v>
      </c>
      <c r="C4" s="1"/>
    </row>
    <row r="5" spans="2:8" ht="15.75" customHeight="1" x14ac:dyDescent="0.25">
      <c r="B5" s="2" t="s">
        <v>18</v>
      </c>
      <c r="C5" s="10">
        <f>WACC!C15</f>
        <v>8.709954245144623E-2</v>
      </c>
    </row>
    <row r="6" spans="2:8" ht="15.75" customHeight="1" x14ac:dyDescent="0.25">
      <c r="B6" s="2" t="s">
        <v>20</v>
      </c>
      <c r="C6" s="10">
        <v>0.04</v>
      </c>
    </row>
    <row r="7" spans="2:8" ht="15.75" customHeight="1" x14ac:dyDescent="0.25">
      <c r="B7" s="2" t="s">
        <v>21</v>
      </c>
      <c r="C7" s="11">
        <v>43</v>
      </c>
    </row>
    <row r="8" spans="2:8" ht="15.75" customHeight="1" x14ac:dyDescent="0.2"/>
    <row r="9" spans="2:8" ht="15.75" customHeight="1" x14ac:dyDescent="0.25">
      <c r="B9" s="12" t="s">
        <v>22</v>
      </c>
      <c r="C9" s="12">
        <v>0</v>
      </c>
      <c r="D9" s="12">
        <v>1</v>
      </c>
      <c r="E9" s="12">
        <v>2</v>
      </c>
      <c r="F9" s="12">
        <v>3</v>
      </c>
      <c r="G9" s="12">
        <v>4</v>
      </c>
      <c r="H9" s="42"/>
    </row>
    <row r="10" spans="2:8" ht="15.75" customHeight="1" x14ac:dyDescent="0.25">
      <c r="B10" s="7" t="s">
        <v>23</v>
      </c>
      <c r="D10" s="8">
        <v>3357.7434142999996</v>
      </c>
      <c r="E10" s="8">
        <v>3900.018975709449</v>
      </c>
      <c r="F10" s="8">
        <v>4529.8720402865247</v>
      </c>
      <c r="G10" s="8">
        <v>5261.4463747927985</v>
      </c>
      <c r="H10" s="8"/>
    </row>
    <row r="11" spans="2:8" ht="15.75" customHeight="1" x14ac:dyDescent="0.25">
      <c r="B11" s="7" t="s">
        <v>5</v>
      </c>
      <c r="D11" s="8">
        <v>1945.3902946654998</v>
      </c>
      <c r="E11" s="8">
        <v>1970.7118905555778</v>
      </c>
      <c r="F11" s="8">
        <v>1996.8261180736345</v>
      </c>
      <c r="G11" s="8">
        <v>2023.8273361401823</v>
      </c>
      <c r="H11" s="8"/>
    </row>
    <row r="12" spans="2:8" ht="15.75" customHeight="1" x14ac:dyDescent="0.2"/>
    <row r="13" spans="2:8" ht="15.75" customHeight="1" x14ac:dyDescent="0.25">
      <c r="G13" s="13" t="s">
        <v>24</v>
      </c>
      <c r="H13" s="14">
        <f>(G11*(1+C6))/(C5-C6)</f>
        <v>44687.91669803494</v>
      </c>
    </row>
    <row r="14" spans="2:8" ht="15.75" customHeight="1" x14ac:dyDescent="0.25">
      <c r="F14" s="1"/>
      <c r="G14" s="15"/>
      <c r="H14" s="16"/>
    </row>
    <row r="15" spans="2:8" ht="15.75" customHeight="1" x14ac:dyDescent="0.25">
      <c r="G15" s="13"/>
      <c r="H15" s="14"/>
    </row>
    <row r="16" spans="2: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2:H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000"/>
  <sheetViews>
    <sheetView showGridLines="0" topLeftCell="A7" workbookViewId="0">
      <selection activeCell="C15" sqref="C15"/>
    </sheetView>
  </sheetViews>
  <sheetFormatPr defaultColWidth="11.33203125" defaultRowHeight="15" customHeight="1" x14ac:dyDescent="0.2"/>
  <cols>
    <col min="1" max="1" width="10.5546875" customWidth="1"/>
    <col min="2" max="2" width="14.6640625" customWidth="1"/>
    <col min="3" max="26" width="10.5546875" customWidth="1"/>
  </cols>
  <sheetData>
    <row r="1" spans="2:8" ht="15.75" customHeight="1" x14ac:dyDescent="0.2"/>
    <row r="2" spans="2:8" ht="15.75" customHeight="1" x14ac:dyDescent="0.25">
      <c r="B2" s="48" t="s">
        <v>25</v>
      </c>
      <c r="C2" s="51"/>
      <c r="D2" s="51"/>
      <c r="E2" s="51"/>
      <c r="F2" s="51"/>
      <c r="G2" s="51"/>
      <c r="H2" s="49"/>
    </row>
    <row r="3" spans="2:8" ht="15.75" customHeight="1" x14ac:dyDescent="0.2"/>
    <row r="4" spans="2:8" ht="15.75" customHeight="1" x14ac:dyDescent="0.25">
      <c r="B4" s="1" t="s">
        <v>26</v>
      </c>
      <c r="C4" s="1"/>
    </row>
    <row r="5" spans="2:8" ht="15.75" customHeight="1" x14ac:dyDescent="0.25">
      <c r="B5" s="2" t="s">
        <v>18</v>
      </c>
      <c r="C5" s="5">
        <v>7.4999999999999997E-2</v>
      </c>
    </row>
    <row r="6" spans="2:8" ht="15.75" customHeight="1" x14ac:dyDescent="0.2"/>
    <row r="7" spans="2:8" ht="15.75" customHeight="1" x14ac:dyDescent="0.25">
      <c r="B7" s="12" t="s">
        <v>22</v>
      </c>
      <c r="C7" s="12">
        <v>0</v>
      </c>
      <c r="D7" s="12">
        <v>1</v>
      </c>
      <c r="E7" s="12">
        <v>2</v>
      </c>
      <c r="F7" s="12">
        <v>3</v>
      </c>
      <c r="G7" s="12">
        <v>4</v>
      </c>
      <c r="H7" s="40"/>
    </row>
    <row r="8" spans="2:8" ht="15.75" customHeight="1" x14ac:dyDescent="0.25">
      <c r="B8" s="7" t="s">
        <v>5</v>
      </c>
      <c r="C8" s="39"/>
      <c r="D8" s="8">
        <v>1945.3902946654998</v>
      </c>
      <c r="E8" s="8">
        <v>1970.7118905555778</v>
      </c>
      <c r="F8" s="8">
        <v>1996.8261180736345</v>
      </c>
      <c r="G8" s="8">
        <v>2023.8273361401823</v>
      </c>
      <c r="H8" s="8"/>
    </row>
    <row r="9" spans="2:8" ht="15.75" customHeight="1" x14ac:dyDescent="0.25">
      <c r="B9" s="7" t="s">
        <v>27</v>
      </c>
      <c r="D9" s="8"/>
      <c r="E9" s="8"/>
      <c r="F9" s="8"/>
      <c r="G9" s="18">
        <f>'Terminal Value'!H13</f>
        <v>44687.91669803494</v>
      </c>
      <c r="H9" s="8"/>
    </row>
    <row r="10" spans="2:8" ht="15.75" customHeight="1" x14ac:dyDescent="0.25">
      <c r="B10" s="9" t="s">
        <v>28</v>
      </c>
      <c r="C10" s="9"/>
      <c r="D10" s="41">
        <f>1/(1+C5)^1</f>
        <v>0.93023255813953487</v>
      </c>
      <c r="E10" s="17">
        <f>1/(1+C5)^2</f>
        <v>0.86533261222282321</v>
      </c>
      <c r="F10" s="41">
        <f>1/(1+C5)^3</f>
        <v>0.80496056950960304</v>
      </c>
      <c r="G10" s="17">
        <f>1/(1+C5)^4</f>
        <v>0.7488005297763749</v>
      </c>
      <c r="H10" s="17"/>
    </row>
    <row r="11" spans="2:8" ht="15.75" customHeight="1" x14ac:dyDescent="0.2"/>
    <row r="12" spans="2:8" ht="15.75" customHeight="1" x14ac:dyDescent="0.25">
      <c r="B12" s="9" t="s">
        <v>29</v>
      </c>
      <c r="C12" s="9"/>
      <c r="D12" s="18">
        <f>D8*D10</f>
        <v>1809.6653903865115</v>
      </c>
      <c r="E12" s="18">
        <f t="shared" ref="E12:G12" si="0">E8*E10</f>
        <v>1705.3212681930365</v>
      </c>
      <c r="F12" s="18">
        <f t="shared" si="0"/>
        <v>1607.3662892162026</v>
      </c>
      <c r="G12" s="18">
        <f t="shared" si="0"/>
        <v>1515.4429814776781</v>
      </c>
      <c r="H12" s="18"/>
    </row>
    <row r="13" spans="2:8" ht="15.75" customHeight="1" x14ac:dyDescent="0.25">
      <c r="B13" s="9" t="s">
        <v>30</v>
      </c>
      <c r="C13" s="9"/>
      <c r="D13" s="18"/>
      <c r="E13" s="18"/>
      <c r="F13" s="18"/>
      <c r="G13">
        <f>G9*G10</f>
        <v>33462.335698091076</v>
      </c>
      <c r="H13" s="18"/>
    </row>
    <row r="14" spans="2:8" ht="15.75" customHeight="1" x14ac:dyDescent="0.25">
      <c r="B14" s="1"/>
      <c r="C14" s="1"/>
    </row>
    <row r="15" spans="2:8" ht="15.75" customHeight="1" x14ac:dyDescent="0.25">
      <c r="B15" s="19" t="s">
        <v>31</v>
      </c>
      <c r="C15" s="20">
        <f>SUM(D12:G12)+G13</f>
        <v>40100.131627364506</v>
      </c>
    </row>
    <row r="16" spans="2: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2:H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999"/>
  <sheetViews>
    <sheetView showGridLines="0" workbookViewId="0">
      <selection activeCell="B19" sqref="B19"/>
    </sheetView>
  </sheetViews>
  <sheetFormatPr defaultColWidth="11.33203125" defaultRowHeight="15" customHeight="1" x14ac:dyDescent="0.2"/>
  <cols>
    <col min="1" max="1" width="10.5546875" customWidth="1"/>
    <col min="2" max="2" width="28" customWidth="1"/>
    <col min="3" max="26" width="10.5546875" customWidth="1"/>
  </cols>
  <sheetData>
    <row r="1" spans="2:3" ht="15.75" customHeight="1" x14ac:dyDescent="0.2"/>
    <row r="2" spans="2:3" ht="15.75" customHeight="1" x14ac:dyDescent="0.2"/>
    <row r="3" spans="2:3" ht="15.75" customHeight="1" x14ac:dyDescent="0.25">
      <c r="B3" s="48" t="s">
        <v>32</v>
      </c>
      <c r="C3" s="49"/>
    </row>
    <row r="4" spans="2:3" ht="15.75" customHeight="1" x14ac:dyDescent="0.2"/>
    <row r="5" spans="2:3" ht="15.75" customHeight="1" x14ac:dyDescent="0.25">
      <c r="B5" s="7" t="s">
        <v>31</v>
      </c>
      <c r="C5" s="8">
        <f>Discounting!C15</f>
        <v>40100.131627364506</v>
      </c>
    </row>
    <row r="6" spans="2:3" ht="15.75" customHeight="1" x14ac:dyDescent="0.25">
      <c r="B6" s="7" t="s">
        <v>33</v>
      </c>
      <c r="C6" s="44">
        <f>Sheet3!K72</f>
        <v>336.21</v>
      </c>
    </row>
    <row r="7" spans="2:3" ht="15.75" customHeight="1" x14ac:dyDescent="0.25">
      <c r="B7" s="7" t="s">
        <v>34</v>
      </c>
      <c r="C7" s="8">
        <f>Sheet3!K67</f>
        <v>3551.32</v>
      </c>
    </row>
    <row r="8" spans="2:3" ht="15.75" customHeight="1" x14ac:dyDescent="0.25">
      <c r="B8" s="7" t="s">
        <v>117</v>
      </c>
      <c r="C8" s="8">
        <f>Sheet3!K62</f>
        <v>454.14</v>
      </c>
    </row>
    <row r="9" spans="2:3" ht="15.75" customHeight="1" x14ac:dyDescent="0.25">
      <c r="B9" s="6" t="s">
        <v>35</v>
      </c>
      <c r="C9" s="21">
        <f>C5+C6+C7-C8</f>
        <v>43533.521627364506</v>
      </c>
    </row>
    <row r="10" spans="2:3" ht="15.75" customHeight="1" x14ac:dyDescent="0.2"/>
    <row r="11" spans="2:3" ht="15.75" customHeight="1" x14ac:dyDescent="0.25">
      <c r="B11" s="7" t="s">
        <v>36</v>
      </c>
      <c r="C11" s="8">
        <v>102</v>
      </c>
    </row>
    <row r="12" spans="2:3" ht="15.75" customHeight="1" x14ac:dyDescent="0.25">
      <c r="B12" s="6" t="s">
        <v>37</v>
      </c>
      <c r="C12" s="22">
        <f>C9/C11</f>
        <v>426.79923164082851</v>
      </c>
    </row>
    <row r="13" spans="2:3" ht="15.75" customHeight="1" x14ac:dyDescent="0.2"/>
    <row r="14" spans="2:3" ht="15.75" customHeight="1" x14ac:dyDescent="0.2"/>
    <row r="15" spans="2:3" ht="15.75" customHeight="1" x14ac:dyDescent="0.2"/>
    <row r="16" spans="2:3" ht="15.75" customHeight="1" x14ac:dyDescent="0.2"/>
    <row r="17" spans="5:5" ht="15.75" customHeight="1" x14ac:dyDescent="0.2"/>
    <row r="18" spans="5:5" ht="15.75" customHeight="1" x14ac:dyDescent="0.25">
      <c r="E18" s="45"/>
    </row>
    <row r="19" spans="5:5" ht="15.75" customHeight="1" x14ac:dyDescent="0.2"/>
    <row r="20" spans="5:5" ht="15.75" customHeight="1" x14ac:dyDescent="0.2"/>
    <row r="21" spans="5:5" ht="15.75" customHeight="1" x14ac:dyDescent="0.2"/>
    <row r="22" spans="5:5" ht="15.75" customHeight="1" x14ac:dyDescent="0.2"/>
    <row r="23" spans="5:5" ht="15.75" customHeight="1" x14ac:dyDescent="0.2"/>
    <row r="24" spans="5:5" ht="15.75" customHeight="1" x14ac:dyDescent="0.2"/>
    <row r="25" spans="5:5" ht="15.75" customHeight="1" x14ac:dyDescent="0.2"/>
    <row r="26" spans="5:5" ht="15.75" customHeight="1" x14ac:dyDescent="0.2"/>
    <row r="27" spans="5:5" ht="15.75" customHeight="1" x14ac:dyDescent="0.2"/>
    <row r="28" spans="5:5" ht="15.75" customHeight="1" x14ac:dyDescent="0.2"/>
    <row r="29" spans="5:5" ht="15.75" customHeight="1" x14ac:dyDescent="0.2"/>
    <row r="30" spans="5:5" ht="15.75" customHeight="1" x14ac:dyDescent="0.2"/>
    <row r="31" spans="5:5" ht="15.75" customHeight="1" x14ac:dyDescent="0.2"/>
    <row r="32" spans="5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">
    <mergeCell ref="B3:C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</vt:lpstr>
      <vt:lpstr>Sheet3</vt:lpstr>
      <vt:lpstr>WACC</vt:lpstr>
      <vt:lpstr>Terminal Value</vt:lpstr>
      <vt:lpstr>Discounting</vt:lpstr>
      <vt:lpstr>EV to Equity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siddhanth kulkarni</cp:lastModifiedBy>
  <dcterms:created xsi:type="dcterms:W3CDTF">2021-10-04T07:58:36Z</dcterms:created>
  <dcterms:modified xsi:type="dcterms:W3CDTF">2026-01-04T04:31:09Z</dcterms:modified>
</cp:coreProperties>
</file>